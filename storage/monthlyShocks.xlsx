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noadmin\Desktop\114114-V1\20150093_replicationfiles\Data\"/>
    </mc:Choice>
  </mc:AlternateContent>
  <xr:revisionPtr revIDLastSave="0" documentId="13_ncr:1_{19A97E15-FA80-448E-8F1D-BD8CC16156A1}" xr6:coauthVersionLast="47" xr6:coauthVersionMax="47" xr10:uidLastSave="{00000000-0000-0000-0000-000000000000}"/>
  <bookViews>
    <workbookView xWindow="2652" yWindow="2652" windowWidth="17280" windowHeight="8964" tabRatio="782" xr2:uid="{00000000-000D-0000-FFFF-FFFF00000000}"/>
  </bookViews>
  <sheets>
    <sheet name="monthlyShocks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9" i="8" l="1"/>
  <c r="C239" i="8"/>
  <c r="B239" i="8"/>
  <c r="D238" i="8"/>
  <c r="C238" i="8"/>
  <c r="B238" i="8"/>
  <c r="D237" i="8"/>
  <c r="C237" i="8"/>
  <c r="B237" i="8"/>
  <c r="D236" i="8"/>
  <c r="C236" i="8"/>
  <c r="B236" i="8"/>
  <c r="D235" i="8"/>
  <c r="C235" i="8"/>
  <c r="B235" i="8"/>
  <c r="D234" i="8"/>
  <c r="C234" i="8"/>
  <c r="B234" i="8"/>
  <c r="D233" i="8"/>
  <c r="C233" i="8"/>
  <c r="B233" i="8"/>
  <c r="D232" i="8"/>
  <c r="C232" i="8"/>
  <c r="B232" i="8"/>
  <c r="D231" i="8"/>
  <c r="C231" i="8"/>
  <c r="B231" i="8"/>
  <c r="D230" i="8"/>
  <c r="C230" i="8"/>
  <c r="B230" i="8"/>
  <c r="D229" i="8"/>
  <c r="C229" i="8"/>
  <c r="B229" i="8"/>
  <c r="D228" i="8"/>
  <c r="C228" i="8"/>
  <c r="B228" i="8"/>
  <c r="D227" i="8"/>
  <c r="C227" i="8"/>
  <c r="B227" i="8"/>
  <c r="D226" i="8"/>
  <c r="C226" i="8"/>
  <c r="B226" i="8"/>
  <c r="D225" i="8"/>
  <c r="C225" i="8"/>
  <c r="B225" i="8"/>
  <c r="D224" i="8"/>
  <c r="C224" i="8"/>
  <c r="B224" i="8"/>
  <c r="D223" i="8"/>
  <c r="C223" i="8"/>
  <c r="B223" i="8"/>
  <c r="D222" i="8"/>
  <c r="C222" i="8"/>
  <c r="B222" i="8"/>
  <c r="D221" i="8"/>
  <c r="C221" i="8"/>
  <c r="B221" i="8"/>
  <c r="D220" i="8"/>
  <c r="C220" i="8"/>
  <c r="B220" i="8"/>
  <c r="D219" i="8"/>
  <c r="C219" i="8"/>
  <c r="B219" i="8"/>
  <c r="D218" i="8"/>
  <c r="C218" i="8"/>
  <c r="B218" i="8"/>
  <c r="D217" i="8"/>
  <c r="C217" i="8"/>
  <c r="B217" i="8"/>
  <c r="D216" i="8"/>
  <c r="C216" i="8"/>
  <c r="B216" i="8"/>
  <c r="D215" i="8"/>
  <c r="C215" i="8"/>
  <c r="B215" i="8"/>
  <c r="D214" i="8"/>
  <c r="C214" i="8"/>
  <c r="B214" i="8"/>
  <c r="D213" i="8"/>
  <c r="C213" i="8"/>
  <c r="B213" i="8"/>
  <c r="D212" i="8"/>
  <c r="C212" i="8"/>
  <c r="B212" i="8"/>
  <c r="D211" i="8"/>
  <c r="C211" i="8"/>
  <c r="B211" i="8"/>
  <c r="D210" i="8"/>
  <c r="C210" i="8"/>
  <c r="B210" i="8"/>
  <c r="D209" i="8"/>
  <c r="C209" i="8"/>
  <c r="B209" i="8"/>
  <c r="D208" i="8"/>
  <c r="C208" i="8"/>
  <c r="B208" i="8"/>
  <c r="D207" i="8"/>
  <c r="C207" i="8"/>
  <c r="B207" i="8"/>
  <c r="D206" i="8"/>
  <c r="C206" i="8"/>
  <c r="B206" i="8"/>
  <c r="D205" i="8"/>
  <c r="C205" i="8"/>
  <c r="B205" i="8"/>
  <c r="D204" i="8"/>
  <c r="C204" i="8"/>
  <c r="B204" i="8"/>
  <c r="D203" i="8"/>
  <c r="C203" i="8"/>
  <c r="B203" i="8"/>
  <c r="D202" i="8"/>
  <c r="C202" i="8"/>
  <c r="B202" i="8"/>
  <c r="D201" i="8"/>
  <c r="C201" i="8"/>
  <c r="B201" i="8"/>
  <c r="D200" i="8"/>
  <c r="C200" i="8"/>
  <c r="B200" i="8"/>
  <c r="D199" i="8"/>
  <c r="C199" i="8"/>
  <c r="B199" i="8"/>
  <c r="D198" i="8"/>
  <c r="C198" i="8"/>
  <c r="B198" i="8"/>
  <c r="D197" i="8"/>
  <c r="C197" i="8"/>
  <c r="B197" i="8"/>
  <c r="D196" i="8"/>
  <c r="C196" i="8"/>
  <c r="B196" i="8"/>
  <c r="D195" i="8"/>
  <c r="C195" i="8"/>
  <c r="B195" i="8"/>
  <c r="D194" i="8"/>
  <c r="C194" i="8"/>
  <c r="B194" i="8"/>
  <c r="D193" i="8"/>
  <c r="C193" i="8"/>
  <c r="B193" i="8"/>
  <c r="D192" i="8"/>
  <c r="C192" i="8"/>
  <c r="B192" i="8"/>
  <c r="D191" i="8"/>
  <c r="C191" i="8"/>
  <c r="B191" i="8"/>
  <c r="D190" i="8"/>
  <c r="C190" i="8"/>
  <c r="B190" i="8"/>
  <c r="D189" i="8"/>
  <c r="C189" i="8"/>
  <c r="B189" i="8"/>
  <c r="D188" i="8"/>
  <c r="C188" i="8"/>
  <c r="B188" i="8"/>
  <c r="D187" i="8"/>
  <c r="C187" i="8"/>
  <c r="B187" i="8"/>
  <c r="D186" i="8"/>
  <c r="C186" i="8"/>
  <c r="B186" i="8"/>
  <c r="D185" i="8"/>
  <c r="C185" i="8"/>
  <c r="B185" i="8"/>
  <c r="D184" i="8"/>
  <c r="C184" i="8"/>
  <c r="B184" i="8"/>
  <c r="D183" i="8"/>
  <c r="C183" i="8"/>
  <c r="B183" i="8"/>
  <c r="D182" i="8"/>
  <c r="C182" i="8"/>
  <c r="B182" i="8"/>
  <c r="D181" i="8"/>
  <c r="C181" i="8"/>
  <c r="B181" i="8"/>
  <c r="D180" i="8"/>
  <c r="C180" i="8"/>
  <c r="B180" i="8"/>
  <c r="D179" i="8"/>
  <c r="C179" i="8"/>
  <c r="B179" i="8"/>
  <c r="D178" i="8"/>
  <c r="C178" i="8"/>
  <c r="B178" i="8"/>
  <c r="D177" i="8"/>
  <c r="C177" i="8"/>
  <c r="B177" i="8"/>
  <c r="D176" i="8"/>
  <c r="C176" i="8"/>
  <c r="B176" i="8"/>
  <c r="D175" i="8"/>
  <c r="C175" i="8"/>
  <c r="B175" i="8"/>
  <c r="D174" i="8"/>
  <c r="C174" i="8"/>
  <c r="B174" i="8"/>
  <c r="D173" i="8"/>
  <c r="C173" i="8"/>
  <c r="B173" i="8"/>
  <c r="D172" i="8"/>
  <c r="C172" i="8"/>
  <c r="B172" i="8"/>
  <c r="D171" i="8"/>
  <c r="C171" i="8"/>
  <c r="B171" i="8"/>
  <c r="D170" i="8"/>
  <c r="C170" i="8"/>
  <c r="B170" i="8"/>
  <c r="D169" i="8"/>
  <c r="C169" i="8"/>
  <c r="B169" i="8"/>
  <c r="D168" i="8"/>
  <c r="C168" i="8"/>
  <c r="B168" i="8"/>
  <c r="D167" i="8"/>
  <c r="C167" i="8"/>
  <c r="B167" i="8"/>
  <c r="D166" i="8"/>
  <c r="C166" i="8"/>
  <c r="B166" i="8"/>
  <c r="D165" i="8"/>
  <c r="C165" i="8"/>
  <c r="B165" i="8"/>
  <c r="D164" i="8"/>
  <c r="C164" i="8"/>
  <c r="B164" i="8"/>
  <c r="D163" i="8"/>
  <c r="C163" i="8"/>
  <c r="B163" i="8"/>
  <c r="D162" i="8"/>
  <c r="C162" i="8"/>
  <c r="B162" i="8"/>
  <c r="D161" i="8"/>
  <c r="C161" i="8"/>
  <c r="B161" i="8"/>
  <c r="D160" i="8"/>
  <c r="C160" i="8"/>
  <c r="B160" i="8"/>
  <c r="D159" i="8"/>
  <c r="C159" i="8"/>
  <c r="B159" i="8"/>
  <c r="D158" i="8"/>
  <c r="C158" i="8"/>
  <c r="B158" i="8"/>
  <c r="D157" i="8"/>
  <c r="C157" i="8"/>
  <c r="B157" i="8"/>
  <c r="D156" i="8"/>
  <c r="C156" i="8"/>
  <c r="B156" i="8"/>
  <c r="D155" i="8"/>
  <c r="C155" i="8"/>
  <c r="B155" i="8"/>
  <c r="D154" i="8"/>
  <c r="C154" i="8"/>
  <c r="B154" i="8"/>
  <c r="D153" i="8"/>
  <c r="C153" i="8"/>
  <c r="B153" i="8"/>
  <c r="D152" i="8"/>
  <c r="C152" i="8"/>
  <c r="B152" i="8"/>
  <c r="D151" i="8"/>
  <c r="C151" i="8"/>
  <c r="B151" i="8"/>
  <c r="D150" i="8"/>
  <c r="C150" i="8"/>
  <c r="B150" i="8"/>
  <c r="D149" i="8"/>
  <c r="C149" i="8"/>
  <c r="B149" i="8"/>
  <c r="D148" i="8"/>
  <c r="C148" i="8"/>
  <c r="B148" i="8"/>
  <c r="D147" i="8"/>
  <c r="C147" i="8"/>
  <c r="B147" i="8"/>
  <c r="D146" i="8"/>
  <c r="C146" i="8"/>
  <c r="B146" i="8"/>
  <c r="D145" i="8"/>
  <c r="C145" i="8"/>
  <c r="B145" i="8"/>
  <c r="D144" i="8"/>
  <c r="C144" i="8"/>
  <c r="B144" i="8"/>
  <c r="D143" i="8"/>
  <c r="C143" i="8"/>
  <c r="B143" i="8"/>
  <c r="D142" i="8"/>
  <c r="C142" i="8"/>
  <c r="B142" i="8"/>
  <c r="D141" i="8"/>
  <c r="C141" i="8"/>
  <c r="B141" i="8"/>
  <c r="D140" i="8"/>
  <c r="C140" i="8"/>
  <c r="B140" i="8"/>
  <c r="D139" i="8"/>
  <c r="C139" i="8"/>
  <c r="B139" i="8"/>
  <c r="D138" i="8"/>
  <c r="C138" i="8"/>
  <c r="B138" i="8"/>
  <c r="D137" i="8"/>
  <c r="C137" i="8"/>
  <c r="B137" i="8"/>
  <c r="D136" i="8"/>
  <c r="C136" i="8"/>
  <c r="B136" i="8"/>
  <c r="D135" i="8"/>
  <c r="C135" i="8"/>
  <c r="B135" i="8"/>
  <c r="D134" i="8"/>
  <c r="C134" i="8"/>
  <c r="B134" i="8"/>
  <c r="D133" i="8"/>
  <c r="C133" i="8"/>
  <c r="B133" i="8"/>
  <c r="D132" i="8"/>
  <c r="C132" i="8"/>
  <c r="B132" i="8"/>
  <c r="D131" i="8"/>
  <c r="C131" i="8"/>
  <c r="B131" i="8"/>
  <c r="D130" i="8"/>
  <c r="C130" i="8"/>
  <c r="B130" i="8"/>
  <c r="D129" i="8"/>
  <c r="C129" i="8"/>
  <c r="B129" i="8"/>
  <c r="D128" i="8"/>
  <c r="C128" i="8"/>
  <c r="B128" i="8"/>
  <c r="D127" i="8"/>
  <c r="C127" i="8"/>
  <c r="B127" i="8"/>
  <c r="D126" i="8"/>
  <c r="C126" i="8"/>
  <c r="B126" i="8"/>
  <c r="D125" i="8"/>
  <c r="C125" i="8"/>
  <c r="B125" i="8"/>
  <c r="D124" i="8"/>
  <c r="C124" i="8"/>
  <c r="B124" i="8"/>
  <c r="D123" i="8"/>
  <c r="C123" i="8"/>
  <c r="B123" i="8"/>
  <c r="D122" i="8"/>
  <c r="C122" i="8"/>
  <c r="B122" i="8"/>
  <c r="D121" i="8"/>
  <c r="C121" i="8"/>
  <c r="B121" i="8"/>
  <c r="D120" i="8"/>
  <c r="C120" i="8"/>
  <c r="B120" i="8"/>
  <c r="D119" i="8"/>
  <c r="C119" i="8"/>
  <c r="B119" i="8"/>
  <c r="D118" i="8"/>
  <c r="C118" i="8"/>
  <c r="B118" i="8"/>
  <c r="D117" i="8"/>
  <c r="C117" i="8"/>
  <c r="B117" i="8"/>
  <c r="D116" i="8"/>
  <c r="C116" i="8"/>
  <c r="B116" i="8"/>
  <c r="D115" i="8"/>
  <c r="C115" i="8"/>
  <c r="B115" i="8"/>
  <c r="D114" i="8"/>
  <c r="C114" i="8"/>
  <c r="B114" i="8"/>
  <c r="D113" i="8"/>
  <c r="C113" i="8"/>
  <c r="B113" i="8"/>
  <c r="D112" i="8"/>
  <c r="C112" i="8"/>
  <c r="B112" i="8"/>
  <c r="D111" i="8"/>
  <c r="C111" i="8"/>
  <c r="B111" i="8"/>
  <c r="D110" i="8"/>
  <c r="C110" i="8"/>
  <c r="B110" i="8"/>
  <c r="D109" i="8"/>
  <c r="C109" i="8"/>
  <c r="B109" i="8"/>
  <c r="D108" i="8"/>
  <c r="C108" i="8"/>
  <c r="B108" i="8"/>
  <c r="D107" i="8"/>
  <c r="C107" i="8"/>
  <c r="B107" i="8"/>
  <c r="D106" i="8"/>
  <c r="C106" i="8"/>
  <c r="B106" i="8"/>
  <c r="D105" i="8"/>
  <c r="C105" i="8"/>
  <c r="B105" i="8"/>
  <c r="D104" i="8"/>
  <c r="C104" i="8"/>
  <c r="B104" i="8"/>
  <c r="D103" i="8"/>
  <c r="C103" i="8"/>
  <c r="B103" i="8"/>
  <c r="D102" i="8"/>
  <c r="C102" i="8"/>
  <c r="B102" i="8"/>
  <c r="D101" i="8"/>
  <c r="C101" i="8"/>
  <c r="B101" i="8"/>
  <c r="D100" i="8"/>
  <c r="C100" i="8"/>
  <c r="B100" i="8"/>
  <c r="D99" i="8"/>
  <c r="C99" i="8"/>
  <c r="B99" i="8"/>
  <c r="D98" i="8"/>
  <c r="C98" i="8"/>
  <c r="B98" i="8"/>
  <c r="D97" i="8"/>
  <c r="C97" i="8"/>
  <c r="B97" i="8"/>
  <c r="D96" i="8"/>
  <c r="C96" i="8"/>
  <c r="B96" i="8"/>
  <c r="D95" i="8"/>
  <c r="C95" i="8"/>
  <c r="B95" i="8"/>
  <c r="D94" i="8"/>
  <c r="C94" i="8"/>
  <c r="B94" i="8"/>
  <c r="D93" i="8"/>
  <c r="C93" i="8"/>
  <c r="B93" i="8"/>
  <c r="D92" i="8"/>
  <c r="C92" i="8"/>
  <c r="B92" i="8"/>
  <c r="D91" i="8"/>
  <c r="C91" i="8"/>
  <c r="B91" i="8"/>
  <c r="D90" i="8"/>
  <c r="C90" i="8"/>
  <c r="B90" i="8"/>
  <c r="D89" i="8"/>
  <c r="C89" i="8"/>
  <c r="B89" i="8"/>
  <c r="D88" i="8"/>
  <c r="C88" i="8"/>
  <c r="B88" i="8"/>
  <c r="D87" i="8"/>
  <c r="C87" i="8"/>
  <c r="B87" i="8"/>
  <c r="D86" i="8"/>
  <c r="C86" i="8"/>
  <c r="B86" i="8"/>
  <c r="D85" i="8"/>
  <c r="C85" i="8"/>
  <c r="B85" i="8"/>
  <c r="D84" i="8"/>
  <c r="C84" i="8"/>
  <c r="B84" i="8"/>
  <c r="D83" i="8"/>
  <c r="C83" i="8"/>
  <c r="B83" i="8"/>
  <c r="D82" i="8"/>
  <c r="C82" i="8"/>
  <c r="B82" i="8"/>
  <c r="D81" i="8"/>
  <c r="C81" i="8"/>
  <c r="B81" i="8"/>
  <c r="D80" i="8"/>
  <c r="C80" i="8"/>
  <c r="B80" i="8"/>
  <c r="D79" i="8"/>
  <c r="C79" i="8"/>
  <c r="B79" i="8"/>
  <c r="D78" i="8"/>
  <c r="C78" i="8"/>
  <c r="B78" i="8"/>
  <c r="D77" i="8"/>
  <c r="C77" i="8"/>
  <c r="B77" i="8"/>
  <c r="D76" i="8"/>
  <c r="C76" i="8"/>
  <c r="B76" i="8"/>
  <c r="D75" i="8"/>
  <c r="C75" i="8"/>
  <c r="B75" i="8"/>
  <c r="D74" i="8"/>
  <c r="C74" i="8"/>
  <c r="B74" i="8"/>
  <c r="D73" i="8"/>
  <c r="C73" i="8"/>
  <c r="B73" i="8"/>
  <c r="D72" i="8"/>
  <c r="C72" i="8"/>
  <c r="B72" i="8"/>
  <c r="D71" i="8"/>
  <c r="C71" i="8"/>
  <c r="B71" i="8"/>
  <c r="D70" i="8"/>
  <c r="C70" i="8"/>
  <c r="B70" i="8"/>
  <c r="D69" i="8"/>
  <c r="C69" i="8"/>
  <c r="B69" i="8"/>
  <c r="D68" i="8"/>
  <c r="C68" i="8"/>
  <c r="B68" i="8"/>
  <c r="D67" i="8"/>
  <c r="C67" i="8"/>
  <c r="B67" i="8"/>
  <c r="D66" i="8"/>
  <c r="C66" i="8"/>
  <c r="B66" i="8"/>
  <c r="D65" i="8"/>
  <c r="C65" i="8"/>
  <c r="B65" i="8"/>
  <c r="D64" i="8"/>
  <c r="C64" i="8"/>
  <c r="B64" i="8"/>
  <c r="D63" i="8"/>
  <c r="C63" i="8"/>
  <c r="B63" i="8"/>
  <c r="D62" i="8"/>
  <c r="C62" i="8"/>
  <c r="B62" i="8"/>
  <c r="D61" i="8"/>
  <c r="C61" i="8"/>
  <c r="B61" i="8"/>
  <c r="D60" i="8"/>
  <c r="C60" i="8"/>
  <c r="B60" i="8"/>
  <c r="D59" i="8"/>
  <c r="C59" i="8"/>
  <c r="B59" i="8"/>
  <c r="D58" i="8"/>
  <c r="C58" i="8"/>
  <c r="B58" i="8"/>
  <c r="D57" i="8"/>
  <c r="C57" i="8"/>
  <c r="B57" i="8"/>
  <c r="D56" i="8"/>
  <c r="C56" i="8"/>
  <c r="B56" i="8"/>
  <c r="D55" i="8"/>
  <c r="C55" i="8"/>
  <c r="B55" i="8"/>
  <c r="D54" i="8"/>
  <c r="C54" i="8"/>
  <c r="B54" i="8"/>
  <c r="D53" i="8"/>
  <c r="C53" i="8"/>
  <c r="B53" i="8"/>
  <c r="D52" i="8"/>
  <c r="C52" i="8"/>
  <c r="B52" i="8"/>
  <c r="D51" i="8"/>
  <c r="C51" i="8"/>
  <c r="B51" i="8"/>
  <c r="D50" i="8"/>
  <c r="C50" i="8"/>
  <c r="B50" i="8"/>
  <c r="D49" i="8"/>
  <c r="C49" i="8"/>
  <c r="B49" i="8"/>
  <c r="D48" i="8"/>
  <c r="C48" i="8"/>
  <c r="B48" i="8"/>
  <c r="D47" i="8"/>
  <c r="C47" i="8"/>
  <c r="B47" i="8"/>
  <c r="D46" i="8"/>
  <c r="C46" i="8"/>
  <c r="B46" i="8"/>
  <c r="D45" i="8"/>
  <c r="C45" i="8"/>
  <c r="B45" i="8"/>
  <c r="D44" i="8"/>
  <c r="C44" i="8"/>
  <c r="B44" i="8"/>
  <c r="D43" i="8"/>
  <c r="C43" i="8"/>
  <c r="B43" i="8"/>
  <c r="D42" i="8"/>
  <c r="C42" i="8"/>
  <c r="B42" i="8"/>
  <c r="D41" i="8"/>
  <c r="C41" i="8"/>
  <c r="B41" i="8"/>
  <c r="D40" i="8"/>
  <c r="C40" i="8"/>
  <c r="B40" i="8"/>
  <c r="D39" i="8"/>
  <c r="C39" i="8"/>
  <c r="B39" i="8"/>
  <c r="D38" i="8"/>
  <c r="C38" i="8"/>
  <c r="B38" i="8"/>
  <c r="D37" i="8"/>
  <c r="C37" i="8"/>
  <c r="B37" i="8"/>
  <c r="D36" i="8"/>
  <c r="C36" i="8"/>
  <c r="B36" i="8"/>
  <c r="D35" i="8"/>
  <c r="C35" i="8"/>
  <c r="B35" i="8"/>
  <c r="D34" i="8"/>
  <c r="C34" i="8"/>
  <c r="B34" i="8"/>
  <c r="D33" i="8"/>
  <c r="C33" i="8"/>
  <c r="B33" i="8"/>
  <c r="D32" i="8"/>
  <c r="C32" i="8"/>
  <c r="B32" i="8"/>
  <c r="D31" i="8"/>
  <c r="C31" i="8"/>
  <c r="B31" i="8"/>
  <c r="D30" i="8"/>
  <c r="C30" i="8"/>
  <c r="B30" i="8"/>
  <c r="D29" i="8"/>
  <c r="C29" i="8"/>
  <c r="B29" i="8"/>
  <c r="D28" i="8"/>
  <c r="C28" i="8"/>
  <c r="B28" i="8"/>
  <c r="D27" i="8"/>
  <c r="C27" i="8"/>
  <c r="B27" i="8"/>
  <c r="D26" i="8"/>
  <c r="C26" i="8"/>
  <c r="B26" i="8"/>
  <c r="D25" i="8"/>
  <c r="C25" i="8"/>
  <c r="B25" i="8"/>
  <c r="D24" i="8"/>
  <c r="C24" i="8"/>
  <c r="B24" i="8"/>
  <c r="D23" i="8"/>
  <c r="C23" i="8"/>
  <c r="B23" i="8"/>
  <c r="D22" i="8"/>
  <c r="C22" i="8"/>
  <c r="B22" i="8"/>
  <c r="D21" i="8"/>
  <c r="C21" i="8"/>
  <c r="B21" i="8"/>
  <c r="D20" i="8"/>
  <c r="C20" i="8"/>
  <c r="B20" i="8"/>
  <c r="D19" i="8"/>
  <c r="C19" i="8"/>
  <c r="B19" i="8"/>
  <c r="D18" i="8"/>
  <c r="C18" i="8"/>
  <c r="B18" i="8"/>
  <c r="D17" i="8"/>
  <c r="C17" i="8"/>
  <c r="B17" i="8"/>
  <c r="D16" i="8"/>
  <c r="C16" i="8"/>
  <c r="B16" i="8"/>
  <c r="D15" i="8"/>
  <c r="C15" i="8"/>
  <c r="B15" i="8"/>
  <c r="D14" i="8"/>
  <c r="C14" i="8"/>
  <c r="B14" i="8"/>
  <c r="D13" i="8"/>
  <c r="C13" i="8"/>
  <c r="B13" i="8"/>
  <c r="D12" i="8"/>
  <c r="C12" i="8"/>
  <c r="B12" i="8"/>
  <c r="D11" i="8"/>
  <c r="C11" i="8"/>
  <c r="B11" i="8"/>
  <c r="D10" i="8"/>
  <c r="C10" i="8"/>
  <c r="B10" i="8"/>
  <c r="D9" i="8"/>
  <c r="C9" i="8"/>
  <c r="B9" i="8"/>
  <c r="D8" i="8"/>
  <c r="C8" i="8"/>
  <c r="B8" i="8"/>
  <c r="D7" i="8"/>
  <c r="C7" i="8"/>
  <c r="B7" i="8"/>
  <c r="D6" i="8"/>
  <c r="C6" i="8"/>
  <c r="B6" i="8"/>
  <c r="D5" i="8"/>
  <c r="C5" i="8"/>
  <c r="B5" i="8"/>
  <c r="D4" i="8"/>
  <c r="C4" i="8"/>
  <c r="B4" i="8"/>
  <c r="D3" i="8"/>
  <c r="C3" i="8"/>
  <c r="B3" i="8"/>
  <c r="G6" i="8" l="1"/>
  <c r="G11" i="8"/>
  <c r="G173" i="8"/>
  <c r="G19" i="8"/>
  <c r="G31" i="8"/>
  <c r="G39" i="8"/>
  <c r="G51" i="8"/>
  <c r="G8" i="8"/>
  <c r="G16" i="8"/>
  <c r="G20" i="8"/>
  <c r="G24" i="8"/>
  <c r="G5" i="8"/>
  <c r="G9" i="8"/>
  <c r="G13" i="8"/>
  <c r="G17" i="8"/>
  <c r="G21" i="8"/>
  <c r="G25" i="8"/>
  <c r="G29" i="8"/>
  <c r="G33" i="8"/>
  <c r="G37" i="8"/>
  <c r="G41" i="8"/>
  <c r="G45" i="8"/>
  <c r="G49" i="8"/>
  <c r="G53" i="8"/>
  <c r="G57" i="8"/>
  <c r="G61" i="8"/>
  <c r="G65" i="8"/>
  <c r="G69" i="8"/>
  <c r="G73" i="8"/>
  <c r="G77" i="8"/>
  <c r="G81" i="8"/>
  <c r="G85" i="8"/>
  <c r="G89" i="8"/>
  <c r="G93" i="8"/>
  <c r="G97" i="8"/>
  <c r="G102" i="8"/>
  <c r="G110" i="8"/>
  <c r="G10" i="8"/>
  <c r="G14" i="8"/>
  <c r="G18" i="8"/>
  <c r="G22" i="8"/>
  <c r="G26" i="8"/>
  <c r="G30" i="8"/>
  <c r="G34" i="8"/>
  <c r="G38" i="8"/>
  <c r="G42" i="8"/>
  <c r="G46" i="8"/>
  <c r="G50" i="8"/>
  <c r="G54" i="8"/>
  <c r="G58" i="8"/>
  <c r="G62" i="8"/>
  <c r="G66" i="8"/>
  <c r="G70" i="8"/>
  <c r="G74" i="8"/>
  <c r="G78" i="8"/>
  <c r="G82" i="8"/>
  <c r="G86" i="8"/>
  <c r="G90" i="8"/>
  <c r="G94" i="8"/>
  <c r="G98" i="8"/>
  <c r="G103" i="8"/>
  <c r="G105" i="8"/>
  <c r="G111" i="8"/>
  <c r="G114" i="8"/>
  <c r="G118" i="8"/>
  <c r="G122" i="8"/>
  <c r="G126" i="8"/>
  <c r="G130" i="8"/>
  <c r="G134" i="8"/>
  <c r="G138" i="8"/>
  <c r="G7" i="8"/>
  <c r="G27" i="8"/>
  <c r="G35" i="8"/>
  <c r="G43" i="8"/>
  <c r="G47" i="8"/>
  <c r="G59" i="8"/>
  <c r="G63" i="8"/>
  <c r="G67" i="8"/>
  <c r="G71" i="8"/>
  <c r="G75" i="8"/>
  <c r="G79" i="8"/>
  <c r="G83" i="8"/>
  <c r="G87" i="8"/>
  <c r="G91" i="8"/>
  <c r="G95" i="8"/>
  <c r="G99" i="8"/>
  <c r="G106" i="8"/>
  <c r="G115" i="8"/>
  <c r="G119" i="8"/>
  <c r="G123" i="8"/>
  <c r="G127" i="8"/>
  <c r="G131" i="8"/>
  <c r="G135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3" i="8"/>
  <c r="G15" i="8"/>
  <c r="G23" i="8"/>
  <c r="G55" i="8"/>
  <c r="G398" i="8"/>
  <c r="G396" i="8"/>
  <c r="G394" i="8"/>
  <c r="G392" i="8"/>
  <c r="G390" i="8"/>
  <c r="G388" i="8"/>
  <c r="G386" i="8"/>
  <c r="G384" i="8"/>
  <c r="G382" i="8"/>
  <c r="G380" i="8"/>
  <c r="G378" i="8"/>
  <c r="G376" i="8"/>
  <c r="G374" i="8"/>
  <c r="G372" i="8"/>
  <c r="G370" i="8"/>
  <c r="G368" i="8"/>
  <c r="G366" i="8"/>
  <c r="G364" i="8"/>
  <c r="G362" i="8"/>
  <c r="G360" i="8"/>
  <c r="G358" i="8"/>
  <c r="G356" i="8"/>
  <c r="G354" i="8"/>
  <c r="G352" i="8"/>
  <c r="G350" i="8"/>
  <c r="G348" i="8"/>
  <c r="G346" i="8"/>
  <c r="G344" i="8"/>
  <c r="G342" i="8"/>
  <c r="G340" i="8"/>
  <c r="G338" i="8"/>
  <c r="G336" i="8"/>
  <c r="G334" i="8"/>
  <c r="G332" i="8"/>
  <c r="G330" i="8"/>
  <c r="G328" i="8"/>
  <c r="G326" i="8"/>
  <c r="G324" i="8"/>
  <c r="G322" i="8"/>
  <c r="G320" i="8"/>
  <c r="G318" i="8"/>
  <c r="G316" i="8"/>
  <c r="G314" i="8"/>
  <c r="G312" i="8"/>
  <c r="G310" i="8"/>
  <c r="G308" i="8"/>
  <c r="G306" i="8"/>
  <c r="G304" i="8"/>
  <c r="G302" i="8"/>
  <c r="G300" i="8"/>
  <c r="G298" i="8"/>
  <c r="G296" i="8"/>
  <c r="G294" i="8"/>
  <c r="G292" i="8"/>
  <c r="G290" i="8"/>
  <c r="G288" i="8"/>
  <c r="G286" i="8"/>
  <c r="G284" i="8"/>
  <c r="G281" i="8"/>
  <c r="G277" i="8"/>
  <c r="G273" i="8"/>
  <c r="G269" i="8"/>
  <c r="G265" i="8"/>
  <c r="G261" i="8"/>
  <c r="G257" i="8"/>
  <c r="G280" i="8"/>
  <c r="G276" i="8"/>
  <c r="G272" i="8"/>
  <c r="G268" i="8"/>
  <c r="G264" i="8"/>
  <c r="G260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397" i="8"/>
  <c r="G395" i="8"/>
  <c r="G393" i="8"/>
  <c r="G391" i="8"/>
  <c r="G389" i="8"/>
  <c r="G387" i="8"/>
  <c r="G385" i="8"/>
  <c r="G383" i="8"/>
  <c r="G381" i="8"/>
  <c r="G379" i="8"/>
  <c r="G377" i="8"/>
  <c r="G375" i="8"/>
  <c r="G373" i="8"/>
  <c r="G371" i="8"/>
  <c r="G369" i="8"/>
  <c r="G367" i="8"/>
  <c r="G365" i="8"/>
  <c r="G363" i="8"/>
  <c r="G361" i="8"/>
  <c r="G359" i="8"/>
  <c r="G357" i="8"/>
  <c r="G355" i="8"/>
  <c r="G353" i="8"/>
  <c r="G351" i="8"/>
  <c r="G349" i="8"/>
  <c r="G347" i="8"/>
  <c r="G345" i="8"/>
  <c r="G343" i="8"/>
  <c r="G341" i="8"/>
  <c r="G339" i="8"/>
  <c r="G337" i="8"/>
  <c r="G335" i="8"/>
  <c r="G333" i="8"/>
  <c r="G331" i="8"/>
  <c r="G329" i="8"/>
  <c r="G327" i="8"/>
  <c r="G325" i="8"/>
  <c r="G323" i="8"/>
  <c r="G321" i="8"/>
  <c r="G319" i="8"/>
  <c r="G317" i="8"/>
  <c r="G315" i="8"/>
  <c r="G313" i="8"/>
  <c r="G311" i="8"/>
  <c r="G309" i="8"/>
  <c r="G307" i="8"/>
  <c r="G305" i="8"/>
  <c r="G303" i="8"/>
  <c r="G301" i="8"/>
  <c r="G299" i="8"/>
  <c r="G297" i="8"/>
  <c r="G295" i="8"/>
  <c r="G293" i="8"/>
  <c r="G291" i="8"/>
  <c r="G289" i="8"/>
  <c r="G287" i="8"/>
  <c r="G285" i="8"/>
  <c r="G283" i="8"/>
  <c r="G279" i="8"/>
  <c r="G275" i="8"/>
  <c r="G271" i="8"/>
  <c r="G267" i="8"/>
  <c r="G263" i="8"/>
  <c r="G259" i="8"/>
  <c r="G278" i="8"/>
  <c r="G262" i="8"/>
  <c r="G274" i="8"/>
  <c r="G258" i="8"/>
  <c r="G137" i="8"/>
  <c r="G133" i="8"/>
  <c r="G129" i="8"/>
  <c r="G125" i="8"/>
  <c r="G121" i="8"/>
  <c r="G117" i="8"/>
  <c r="G113" i="8"/>
  <c r="G270" i="8"/>
  <c r="G136" i="8"/>
  <c r="G132" i="8"/>
  <c r="G128" i="8"/>
  <c r="G124" i="8"/>
  <c r="G120" i="8"/>
  <c r="G116" i="8"/>
  <c r="G112" i="8"/>
  <c r="G108" i="8"/>
  <c r="G104" i="8"/>
  <c r="G100" i="8"/>
  <c r="G282" i="8"/>
  <c r="G266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4" i="8"/>
  <c r="G12" i="8"/>
  <c r="G28" i="8"/>
  <c r="G32" i="8"/>
  <c r="G36" i="8"/>
  <c r="G40" i="8"/>
  <c r="G44" i="8"/>
  <c r="G48" i="8"/>
  <c r="G52" i="8"/>
  <c r="G56" i="8"/>
  <c r="G60" i="8"/>
  <c r="G64" i="8"/>
  <c r="G68" i="8"/>
  <c r="G72" i="8"/>
  <c r="G76" i="8"/>
  <c r="G80" i="8"/>
  <c r="G84" i="8"/>
  <c r="G88" i="8"/>
  <c r="G92" i="8"/>
  <c r="G96" i="8"/>
  <c r="G101" i="8"/>
  <c r="G107" i="8"/>
  <c r="G109" i="8"/>
</calcChain>
</file>

<file path=xl/sharedStrings.xml><?xml version="1.0" encoding="utf-8"?>
<sst xmlns="http://schemas.openxmlformats.org/spreadsheetml/2006/main" count="7" uniqueCount="7">
  <si>
    <t>Date</t>
  </si>
  <si>
    <t>Residuals</t>
  </si>
  <si>
    <t>Month</t>
  </si>
  <si>
    <t>Quarter</t>
  </si>
  <si>
    <t>Year</t>
  </si>
  <si>
    <t>Date Rate Changed</t>
  </si>
  <si>
    <t>Assigned to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</si>
</sst>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_(* #,##0.00_);_(* \(#,##0.00\);_(* &quot;-&quot;??_);_(@_)"/>
    <numFmt numFmtId="166" formatCode="yyyy"/>
  </numFmts>
  <fonts count="4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  <scheme val="minor"/>
    </font>
    <font>
      <b/>
      <sz val="15"/>
      <color indexed="56"/>
      <name val="Calibri"/>
      <family val="2"/>
      <scheme val="minor"/>
    </font>
    <font>
      <b/>
      <sz val="13"/>
      <color indexed="56"/>
      <name val="Calibri"/>
      <family val="2"/>
      <scheme val="minor"/>
    </font>
    <font>
      <b/>
      <sz val="11"/>
      <color indexed="56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8"/>
      <color indexed="56"/>
      <name val="Cambria"/>
      <family val="2"/>
      <scheme val="major"/>
    </font>
    <font>
      <sz val="10"/>
      <name val="Times New Roman"/>
      <family val="1"/>
    </font>
    <font>
      <u/>
      <sz val="12"/>
      <color indexed="12"/>
      <name val="Times New Roman"/>
      <family val="1"/>
    </font>
    <font>
      <sz val="10"/>
      <name val="Arial"/>
      <family val="2"/>
    </font>
    <font>
      <u/>
      <sz val="12"/>
      <color indexed="12"/>
      <name val="Times New Roman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sz val="10"/>
      <name val="Times New Roman"/>
      <family val="1"/>
    </font>
    <font>
      <u/>
      <sz val="12"/>
      <color indexed="12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0"/>
      <name val="Garamond"/>
      <family val="1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2">
    <xf numFmtId="0" fontId="0" fillId="0" borderId="0"/>
    <xf numFmtId="0" fontId="2" fillId="0" borderId="0"/>
    <xf numFmtId="9" fontId="4" fillId="0" borderId="0"/>
    <xf numFmtId="0" fontId="5" fillId="0" borderId="0"/>
    <xf numFmtId="0" fontId="7" fillId="0" borderId="0" applyNumberFormat="0" applyFill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7" applyNumberFormat="0" applyAlignment="0" applyProtection="0"/>
    <xf numFmtId="0" fontId="15" fillId="6" borderId="8" applyNumberFormat="0" applyAlignment="0" applyProtection="0"/>
    <xf numFmtId="0" fontId="16" fillId="6" borderId="7" applyNumberFormat="0" applyAlignment="0" applyProtection="0"/>
    <xf numFmtId="0" fontId="17" fillId="0" borderId="9" applyNumberFormat="0" applyFill="0" applyAlignment="0" applyProtection="0"/>
    <xf numFmtId="0" fontId="18" fillId="7" borderId="10" applyNumberFormat="0" applyAlignment="0" applyProtection="0"/>
    <xf numFmtId="0" fontId="19" fillId="0" borderId="0" applyNumberFormat="0" applyFill="0" applyBorder="0" applyAlignment="0" applyProtection="0"/>
    <xf numFmtId="0" fontId="6" fillId="8" borderId="11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12" applyNumberFormat="0" applyFill="0" applyAlignment="0" applyProtection="0"/>
    <xf numFmtId="0" fontId="21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1" fillId="32" borderId="0" applyNumberFormat="0" applyBorder="0" applyAlignment="0" applyProtection="0"/>
    <xf numFmtId="165" fontId="2" fillId="0" borderId="0" applyFont="0" applyFill="0" applyBorder="0" applyAlignment="0" applyProtection="0"/>
    <xf numFmtId="0" fontId="6" fillId="0" borderId="0"/>
    <xf numFmtId="0" fontId="6" fillId="8" borderId="11" applyNumberFormat="0" applyFont="0" applyAlignment="0" applyProtection="0"/>
    <xf numFmtId="165" fontId="2" fillId="0" borderId="0" applyFont="0" applyFill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40" borderId="0" applyNumberFormat="0" applyBorder="0" applyAlignment="0" applyProtection="0"/>
    <xf numFmtId="0" fontId="6" fillId="36" borderId="0" applyNumberFormat="0" applyBorder="0" applyAlignment="0" applyProtection="0"/>
    <xf numFmtId="0" fontId="6" fillId="38" borderId="0" applyNumberFormat="0" applyBorder="0" applyAlignment="0" applyProtection="0"/>
    <xf numFmtId="0" fontId="6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21" fillId="43" borderId="0" applyNumberFormat="0" applyBorder="0" applyAlignment="0" applyProtection="0"/>
    <xf numFmtId="0" fontId="21" fillId="49" borderId="0" applyNumberFormat="0" applyBorder="0" applyAlignment="0" applyProtection="0"/>
    <xf numFmtId="0" fontId="12" fillId="34" borderId="0" applyNumberFormat="0" applyBorder="0" applyAlignment="0" applyProtection="0"/>
    <xf numFmtId="0" fontId="23" fillId="37" borderId="7" applyNumberFormat="0" applyAlignment="0" applyProtection="0"/>
    <xf numFmtId="0" fontId="11" fillId="35" borderId="0" applyNumberFormat="0" applyBorder="0" applyAlignment="0" applyProtection="0"/>
    <xf numFmtId="0" fontId="24" fillId="0" borderId="13" applyNumberFormat="0" applyFill="0" applyAlignment="0" applyProtection="0"/>
    <xf numFmtId="0" fontId="25" fillId="0" borderId="14" applyNumberFormat="0" applyFill="0" applyAlignment="0" applyProtection="0"/>
    <xf numFmtId="0" fontId="26" fillId="0" borderId="15" applyNumberFormat="0" applyFill="0" applyAlignment="0" applyProtection="0"/>
    <xf numFmtId="0" fontId="26" fillId="0" borderId="0" applyNumberFormat="0" applyFill="0" applyBorder="0" applyAlignment="0" applyProtection="0"/>
    <xf numFmtId="0" fontId="14" fillId="37" borderId="7" applyNumberFormat="0" applyAlignment="0" applyProtection="0"/>
    <xf numFmtId="0" fontId="27" fillId="0" borderId="16" applyNumberFormat="0" applyFill="0" applyAlignment="0" applyProtection="0"/>
    <xf numFmtId="0" fontId="28" fillId="4" borderId="0" applyNumberFormat="0" applyBorder="0" applyAlignment="0" applyProtection="0"/>
    <xf numFmtId="0" fontId="22" fillId="8" borderId="11" applyNumberFormat="0" applyFont="0" applyAlignment="0" applyProtection="0"/>
    <xf numFmtId="0" fontId="15" fillId="37" borderId="8" applyNumberFormat="0" applyAlignment="0" applyProtection="0"/>
    <xf numFmtId="0" fontId="29" fillId="0" borderId="0" applyNumberFormat="0" applyFill="0" applyBorder="0" applyAlignment="0" applyProtection="0"/>
    <xf numFmtId="0" fontId="1" fillId="0" borderId="17" applyNumberFormat="0" applyFill="0" applyAlignment="0" applyProtection="0"/>
    <xf numFmtId="0" fontId="2" fillId="0" borderId="0"/>
    <xf numFmtId="0" fontId="22" fillId="8" borderId="11" applyNumberFormat="0" applyFont="0" applyAlignment="0" applyProtection="0"/>
    <xf numFmtId="9" fontId="2" fillId="0" borderId="0" applyFill="0" applyBorder="0" applyAlignment="0" applyProtection="0"/>
    <xf numFmtId="9" fontId="5" fillId="0" borderId="0"/>
    <xf numFmtId="0" fontId="31" fillId="0" borderId="0" applyNumberFormat="0" applyFill="0" applyBorder="0" applyAlignment="0" applyProtection="0">
      <alignment vertical="top"/>
      <protection locked="0"/>
    </xf>
    <xf numFmtId="0" fontId="2" fillId="0" borderId="0"/>
    <xf numFmtId="9" fontId="2" fillId="0" borderId="0" applyFill="0" applyBorder="0" applyAlignment="0" applyProtection="0"/>
    <xf numFmtId="0" fontId="32" fillId="0" borderId="0"/>
    <xf numFmtId="9" fontId="32" fillId="0" borderId="0" applyFill="0" applyBorder="0" applyAlignment="0" applyProtection="0"/>
    <xf numFmtId="0" fontId="2" fillId="0" borderId="0"/>
    <xf numFmtId="9" fontId="2" fillId="0" borderId="0" applyFill="0" applyBorder="0" applyAlignment="0" applyProtection="0"/>
    <xf numFmtId="0" fontId="6" fillId="0" borderId="0"/>
    <xf numFmtId="0" fontId="6" fillId="8" borderId="11" applyNumberFormat="0" applyFont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0" fontId="32" fillId="0" borderId="0"/>
    <xf numFmtId="9" fontId="32" fillId="0" borderId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2" fillId="0" borderId="0"/>
    <xf numFmtId="9" fontId="32" fillId="0" borderId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34" fillId="0" borderId="13" applyNumberFormat="0" applyFill="0" applyAlignment="0" applyProtection="0"/>
    <xf numFmtId="0" fontId="35" fillId="0" borderId="14" applyNumberFormat="0" applyFill="0" applyAlignment="0" applyProtection="0"/>
    <xf numFmtId="0" fontId="36" fillId="0" borderId="15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16" applyNumberFormat="0" applyFill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0" fillId="0" borderId="0"/>
    <xf numFmtId="0" fontId="39" fillId="0" borderId="0"/>
    <xf numFmtId="0" fontId="32" fillId="0" borderId="0"/>
    <xf numFmtId="0" fontId="6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/>
    <xf numFmtId="9" fontId="41" fillId="0" borderId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41" fillId="0" borderId="0"/>
    <xf numFmtId="9" fontId="41" fillId="0" borderId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41" fillId="0" borderId="0"/>
    <xf numFmtId="9" fontId="41" fillId="0" borderId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/>
    <xf numFmtId="0" fontId="42" fillId="0" borderId="0"/>
    <xf numFmtId="0" fontId="41" fillId="0" borderId="0"/>
    <xf numFmtId="0" fontId="2" fillId="0" borderId="0"/>
    <xf numFmtId="0" fontId="43" fillId="0" borderId="0"/>
    <xf numFmtId="0" fontId="43" fillId="0" borderId="0"/>
    <xf numFmtId="0" fontId="2" fillId="0" borderId="0"/>
    <xf numFmtId="0" fontId="5" fillId="0" borderId="0"/>
    <xf numFmtId="9" fontId="5" fillId="0" borderId="0"/>
    <xf numFmtId="0" fontId="6" fillId="0" borderId="0"/>
    <xf numFmtId="0" fontId="31" fillId="0" borderId="0" applyNumberFormat="0" applyFill="0" applyBorder="0" applyAlignment="0" applyProtection="0">
      <alignment vertical="top"/>
      <protection locked="0"/>
    </xf>
    <xf numFmtId="0" fontId="6" fillId="0" borderId="0"/>
    <xf numFmtId="9" fontId="2" fillId="0" borderId="0" applyFill="0" applyBorder="0" applyAlignment="0" applyProtection="0"/>
    <xf numFmtId="0" fontId="2" fillId="0" borderId="0"/>
    <xf numFmtId="0" fontId="2" fillId="0" borderId="0"/>
    <xf numFmtId="9" fontId="2" fillId="0" borderId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30" fillId="0" borderId="0"/>
    <xf numFmtId="0" fontId="30" fillId="0" borderId="0"/>
    <xf numFmtId="0" fontId="2" fillId="0" borderId="0"/>
    <xf numFmtId="0" fontId="5" fillId="0" borderId="0"/>
    <xf numFmtId="9" fontId="5" fillId="0" borderId="0"/>
    <xf numFmtId="0" fontId="6" fillId="0" borderId="0"/>
    <xf numFmtId="0" fontId="6" fillId="8" borderId="11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0" borderId="0"/>
    <xf numFmtId="0" fontId="6" fillId="8" borderId="11" applyNumberFormat="0" applyFont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40" borderId="0" applyNumberFormat="0" applyBorder="0" applyAlignment="0" applyProtection="0"/>
    <xf numFmtId="0" fontId="6" fillId="36" borderId="0" applyNumberFormat="0" applyBorder="0" applyAlignment="0" applyProtection="0"/>
    <xf numFmtId="0" fontId="6" fillId="38" borderId="0" applyNumberFormat="0" applyBorder="0" applyAlignment="0" applyProtection="0"/>
    <xf numFmtId="0" fontId="6" fillId="41" borderId="0" applyNumberFormat="0" applyBorder="0" applyAlignment="0" applyProtection="0"/>
    <xf numFmtId="0" fontId="6" fillId="0" borderId="0"/>
    <xf numFmtId="0" fontId="6" fillId="8" borderId="11" applyNumberFormat="0" applyFont="0" applyAlignment="0" applyProtection="0"/>
    <xf numFmtId="0" fontId="2" fillId="0" borderId="0"/>
    <xf numFmtId="9" fontId="2" fillId="0" borderId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2" fillId="0" borderId="0"/>
    <xf numFmtId="9" fontId="2" fillId="0" borderId="0" applyFill="0" applyBorder="0" applyAlignment="0" applyProtection="0"/>
    <xf numFmtId="0" fontId="2" fillId="0" borderId="0"/>
    <xf numFmtId="9" fontId="2" fillId="0" borderId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2" fillId="0" borderId="0"/>
    <xf numFmtId="9" fontId="2" fillId="0" borderId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30" fillId="0" borderId="0"/>
    <xf numFmtId="0" fontId="2" fillId="0" borderId="0"/>
  </cellStyleXfs>
  <cellXfs count="14">
    <xf numFmtId="0" fontId="0" fillId="0" borderId="0" xfId="0"/>
    <xf numFmtId="0" fontId="3" fillId="0" borderId="0" xfId="1" applyFont="1"/>
    <xf numFmtId="14" fontId="2" fillId="0" borderId="0" xfId="1" applyNumberFormat="1"/>
    <xf numFmtId="164" fontId="2" fillId="0" borderId="0" xfId="1" applyNumberFormat="1"/>
    <xf numFmtId="0" fontId="3" fillId="0" borderId="2" xfId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6" fontId="0" fillId="0" borderId="0" xfId="0" applyNumberFormat="1"/>
    <xf numFmtId="0" fontId="1" fillId="0" borderId="18" xfId="0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17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</cellXfs>
  <cellStyles count="202">
    <cellStyle name="%" xfId="138" xr:uid="{00000000-0005-0000-0000-000000000000}"/>
    <cellStyle name="20 % - Akzent1 2" xfId="160" xr:uid="{00000000-0005-0000-0000-000001000000}"/>
    <cellStyle name="20 % - Akzent2 2" xfId="162" xr:uid="{00000000-0005-0000-0000-000002000000}"/>
    <cellStyle name="20 % - Akzent3 2" xfId="164" xr:uid="{00000000-0005-0000-0000-000003000000}"/>
    <cellStyle name="20 % - Akzent4 2" xfId="166" xr:uid="{00000000-0005-0000-0000-000004000000}"/>
    <cellStyle name="20 % - Akzent5 2" xfId="168" xr:uid="{00000000-0005-0000-0000-000005000000}"/>
    <cellStyle name="20 % - Akzent6 2" xfId="170" xr:uid="{00000000-0005-0000-0000-000006000000}"/>
    <cellStyle name="20% - Accent1 2" xfId="49" xr:uid="{00000000-0005-0000-0000-000008000000}"/>
    <cellStyle name="20% - Accent1 2 2" xfId="174" xr:uid="{00000000-0005-0000-0000-000009000000}"/>
    <cellStyle name="20% - Accent2 2" xfId="50" xr:uid="{00000000-0005-0000-0000-00000B000000}"/>
    <cellStyle name="20% - Accent2 2 2" xfId="175" xr:uid="{00000000-0005-0000-0000-00000C000000}"/>
    <cellStyle name="20% - Accent3 2" xfId="51" xr:uid="{00000000-0005-0000-0000-00000E000000}"/>
    <cellStyle name="20% - Accent3 2 2" xfId="176" xr:uid="{00000000-0005-0000-0000-00000F000000}"/>
    <cellStyle name="20% - Accent4 2" xfId="52" xr:uid="{00000000-0005-0000-0000-000011000000}"/>
    <cellStyle name="20% - Accent4 2 2" xfId="177" xr:uid="{00000000-0005-0000-0000-000012000000}"/>
    <cellStyle name="20% - Accent6 2" xfId="53" xr:uid="{00000000-0005-0000-0000-000015000000}"/>
    <cellStyle name="20% - Accent6 2 2" xfId="178" xr:uid="{00000000-0005-0000-0000-000016000000}"/>
    <cellStyle name="20% - Énfasis1" xfId="22" builtinId="30" customBuiltin="1"/>
    <cellStyle name="20% - Énfasis2" xfId="26" builtinId="34" customBuiltin="1"/>
    <cellStyle name="20% - Énfasis3" xfId="30" builtinId="38" customBuiltin="1"/>
    <cellStyle name="20% - Énfasis4" xfId="34" builtinId="42" customBuiltin="1"/>
    <cellStyle name="20% - Énfasis5" xfId="38" builtinId="46" customBuiltin="1"/>
    <cellStyle name="20% - Énfasis6" xfId="42" builtinId="50" customBuiltin="1"/>
    <cellStyle name="40 % - Akzent1 2" xfId="161" xr:uid="{00000000-0005-0000-0000-000017000000}"/>
    <cellStyle name="40 % - Akzent2 2" xfId="163" xr:uid="{00000000-0005-0000-0000-000018000000}"/>
    <cellStyle name="40 % - Akzent3 2" xfId="165" xr:uid="{00000000-0005-0000-0000-000019000000}"/>
    <cellStyle name="40 % - Akzent4 2" xfId="167" xr:uid="{00000000-0005-0000-0000-00001A000000}"/>
    <cellStyle name="40 % - Akzent5 2" xfId="169" xr:uid="{00000000-0005-0000-0000-00001B000000}"/>
    <cellStyle name="40 % - Akzent6 2" xfId="171" xr:uid="{00000000-0005-0000-0000-00001C000000}"/>
    <cellStyle name="40% - Accent1 2" xfId="54" xr:uid="{00000000-0005-0000-0000-00001E000000}"/>
    <cellStyle name="40% - Accent1 2 2" xfId="179" xr:uid="{00000000-0005-0000-0000-00001F000000}"/>
    <cellStyle name="40% - Accent3 2" xfId="55" xr:uid="{00000000-0005-0000-0000-000022000000}"/>
    <cellStyle name="40% - Accent3 2 2" xfId="180" xr:uid="{00000000-0005-0000-0000-000023000000}"/>
    <cellStyle name="40% - Accent4 2" xfId="56" xr:uid="{00000000-0005-0000-0000-000025000000}"/>
    <cellStyle name="40% - Accent4 2 2" xfId="181" xr:uid="{00000000-0005-0000-0000-000026000000}"/>
    <cellStyle name="40% - Accent5 2" xfId="57" xr:uid="{00000000-0005-0000-0000-000028000000}"/>
    <cellStyle name="40% - Accent5 2 2" xfId="182" xr:uid="{00000000-0005-0000-0000-000029000000}"/>
    <cellStyle name="40% - Accent6 2" xfId="58" xr:uid="{00000000-0005-0000-0000-00002B000000}"/>
    <cellStyle name="40% - Accent6 2 2" xfId="183" xr:uid="{00000000-0005-0000-0000-00002C000000}"/>
    <cellStyle name="40% - Énfasis1" xfId="23" builtinId="31" customBuiltin="1"/>
    <cellStyle name="40% - Énfasis2" xfId="27" builtinId="35" customBuiltin="1"/>
    <cellStyle name="40% - Énfasis3" xfId="31" builtinId="39" customBuiltin="1"/>
    <cellStyle name="40% - Énfasis4" xfId="35" builtinId="43" customBuiltin="1"/>
    <cellStyle name="40% - Énfasis5" xfId="39" builtinId="47" customBuiltin="1"/>
    <cellStyle name="40% - Énfasis6" xfId="43" builtinId="51" customBuiltin="1"/>
    <cellStyle name="60% - Accent1 2" xfId="59" xr:uid="{00000000-0005-0000-0000-00002E000000}"/>
    <cellStyle name="60% - Accent2 2" xfId="60" xr:uid="{00000000-0005-0000-0000-000030000000}"/>
    <cellStyle name="60% - Accent3 2" xfId="61" xr:uid="{00000000-0005-0000-0000-000032000000}"/>
    <cellStyle name="60% - Accent4 2" xfId="62" xr:uid="{00000000-0005-0000-0000-000034000000}"/>
    <cellStyle name="60% - Accent5 2" xfId="63" xr:uid="{00000000-0005-0000-0000-000036000000}"/>
    <cellStyle name="60% - Accent6 2" xfId="64" xr:uid="{00000000-0005-0000-0000-000038000000}"/>
    <cellStyle name="60% - Énfasis1" xfId="24" builtinId="32" customBuiltin="1"/>
    <cellStyle name="60% - Énfasis2" xfId="28" builtinId="36" customBuiltin="1"/>
    <cellStyle name="60% - Énfasis3" xfId="32" builtinId="40" customBuiltin="1"/>
    <cellStyle name="60% - Énfasis4" xfId="36" builtinId="44" customBuiltin="1"/>
    <cellStyle name="60% - Énfasis5" xfId="40" builtinId="48" customBuiltin="1"/>
    <cellStyle name="60% - Énfasis6" xfId="44" builtinId="52" customBuiltin="1"/>
    <cellStyle name="Accent1 2" xfId="65" xr:uid="{00000000-0005-0000-0000-00003A000000}"/>
    <cellStyle name="Accent2 2" xfId="66" xr:uid="{00000000-0005-0000-0000-00003C000000}"/>
    <cellStyle name="Accent3 2" xfId="67" xr:uid="{00000000-0005-0000-0000-00003E000000}"/>
    <cellStyle name="Accent4 2" xfId="68" xr:uid="{00000000-0005-0000-0000-000040000000}"/>
    <cellStyle name="Accent6 2" xfId="69" xr:uid="{00000000-0005-0000-0000-000043000000}"/>
    <cellStyle name="Bad 2" xfId="70" xr:uid="{00000000-0005-0000-0000-000045000000}"/>
    <cellStyle name="Bueno" xfId="9" builtinId="26" customBuiltin="1"/>
    <cellStyle name="Calculation 2" xfId="71" xr:uid="{00000000-0005-0000-0000-000047000000}"/>
    <cellStyle name="Cálculo" xfId="14" builtinId="22" customBuiltin="1"/>
    <cellStyle name="Celda de comprobación" xfId="16" builtinId="23" customBuiltin="1"/>
    <cellStyle name="Celda vinculada" xfId="15" builtinId="24" customBuiltin="1"/>
    <cellStyle name="Comma 2" xfId="45" xr:uid="{00000000-0005-0000-0000-000049000000}"/>
    <cellStyle name="Comma 2 2" xfId="48" xr:uid="{00000000-0005-0000-0000-00004A000000}"/>
    <cellStyle name="Comma 2 2 2" xfId="105" xr:uid="{00000000-0005-0000-0000-00004B000000}"/>
    <cellStyle name="Comma 2 2 3" xfId="103" xr:uid="{00000000-0005-0000-0000-00004C000000}"/>
    <cellStyle name="Comma 2 3" xfId="104" xr:uid="{00000000-0005-0000-0000-00004D000000}"/>
    <cellStyle name="Comma 2 4" xfId="102" xr:uid="{00000000-0005-0000-0000-00004E000000}"/>
    <cellStyle name="Encabezado 1" xfId="5" builtinId="16" customBuiltin="1"/>
    <cellStyle name="Encabezado 4" xfId="8" builtinId="19" customBuiltin="1"/>
    <cellStyle name="Énfasis1" xfId="21" builtinId="29" customBuiltin="1"/>
    <cellStyle name="Énfasis2" xfId="25" builtinId="33" customBuiltin="1"/>
    <cellStyle name="Énfasis3" xfId="29" builtinId="37" customBuiltin="1"/>
    <cellStyle name="Énfasis4" xfId="33" builtinId="41" customBuiltin="1"/>
    <cellStyle name="Énfasis5" xfId="37" builtinId="45" customBuiltin="1"/>
    <cellStyle name="Énfasis6" xfId="41" builtinId="49" customBuiltin="1"/>
    <cellStyle name="Entrada" xfId="12" builtinId="20" customBuiltin="1"/>
    <cellStyle name="Good 2" xfId="72" xr:uid="{00000000-0005-0000-0000-000051000000}"/>
    <cellStyle name="Heading 1 2" xfId="73" xr:uid="{00000000-0005-0000-0000-000053000000}"/>
    <cellStyle name="Heading 1 3" xfId="111" xr:uid="{00000000-0005-0000-0000-000054000000}"/>
    <cellStyle name="Heading 2 2" xfId="74" xr:uid="{00000000-0005-0000-0000-000056000000}"/>
    <cellStyle name="Heading 2 3" xfId="112" xr:uid="{00000000-0005-0000-0000-000057000000}"/>
    <cellStyle name="Heading 3 2" xfId="75" xr:uid="{00000000-0005-0000-0000-000059000000}"/>
    <cellStyle name="Heading 3 3" xfId="113" xr:uid="{00000000-0005-0000-0000-00005A000000}"/>
    <cellStyle name="Heading 4 2" xfId="76" xr:uid="{00000000-0005-0000-0000-00005C000000}"/>
    <cellStyle name="Heading 4 3" xfId="114" xr:uid="{00000000-0005-0000-0000-00005D000000}"/>
    <cellStyle name="Hyperlink 2" xfId="88" xr:uid="{00000000-0005-0000-0000-00005E000000}"/>
    <cellStyle name="Hyperlink 2 2" xfId="100" xr:uid="{00000000-0005-0000-0000-00005F000000}"/>
    <cellStyle name="Hyperlink 2 2 2" xfId="101" xr:uid="{00000000-0005-0000-0000-000060000000}"/>
    <cellStyle name="Hyperlink 2 2 2 2" xfId="129" xr:uid="{00000000-0005-0000-0000-000061000000}"/>
    <cellStyle name="Hyperlink 2 2 3" xfId="110" xr:uid="{00000000-0005-0000-0000-000062000000}"/>
    <cellStyle name="Hyperlink 2 2 3 2" xfId="134" xr:uid="{00000000-0005-0000-0000-000063000000}"/>
    <cellStyle name="Hyperlink 2 2 3 2 2" xfId="198" xr:uid="{00000000-0005-0000-0000-000064000000}"/>
    <cellStyle name="Hyperlink 2 2 3 3" xfId="151" xr:uid="{00000000-0005-0000-0000-000065000000}"/>
    <cellStyle name="Hyperlink 2 2 4" xfId="128" xr:uid="{00000000-0005-0000-0000-000066000000}"/>
    <cellStyle name="Hyperlink 2 2 4 2" xfId="195" xr:uid="{00000000-0005-0000-0000-000067000000}"/>
    <cellStyle name="Hyperlink 2 2 5" xfId="188" xr:uid="{00000000-0005-0000-0000-000068000000}"/>
    <cellStyle name="Hyperlink 2 3" xfId="97" xr:uid="{00000000-0005-0000-0000-000069000000}"/>
    <cellStyle name="Hyperlink 2 3 2" xfId="107" xr:uid="{00000000-0005-0000-0000-00006A000000}"/>
    <cellStyle name="Hyperlink 2 3 2 2" xfId="131" xr:uid="{00000000-0005-0000-0000-00006B000000}"/>
    <cellStyle name="Hyperlink 2 3 3" xfId="125" xr:uid="{00000000-0005-0000-0000-00006C000000}"/>
    <cellStyle name="Hyperlink 2 4" xfId="106" xr:uid="{00000000-0005-0000-0000-00006D000000}"/>
    <cellStyle name="Hyperlink 2 4 2" xfId="130" xr:uid="{00000000-0005-0000-0000-00006E000000}"/>
    <cellStyle name="Hyperlink 2 4 2 2" xfId="189" xr:uid="{00000000-0005-0000-0000-00006F000000}"/>
    <cellStyle name="Hyperlink 2 4 3" xfId="145" xr:uid="{00000000-0005-0000-0000-000070000000}"/>
    <cellStyle name="Hyperlink 2 5" xfId="122" xr:uid="{00000000-0005-0000-0000-000071000000}"/>
    <cellStyle name="Hyperlink 2 5 2" xfId="190" xr:uid="{00000000-0005-0000-0000-000072000000}"/>
    <cellStyle name="Incorrecto" xfId="10" builtinId="27" customBuiltin="1"/>
    <cellStyle name="Input 2" xfId="77" xr:uid="{00000000-0005-0000-0000-000074000000}"/>
    <cellStyle name="Linked Cell 2" xfId="78" xr:uid="{00000000-0005-0000-0000-000076000000}"/>
    <cellStyle name="Linked Cell 3" xfId="115" xr:uid="{00000000-0005-0000-0000-000077000000}"/>
    <cellStyle name="Neutral" xfId="11" builtinId="28" customBuiltin="1"/>
    <cellStyle name="Neutral 2" xfId="79" xr:uid="{00000000-0005-0000-0000-000079000000}"/>
    <cellStyle name="Normal" xfId="0" builtinId="0"/>
    <cellStyle name="Normal 2" xfId="1" xr:uid="{00000000-0005-0000-0000-00007B000000}"/>
    <cellStyle name="Normal 2 2" xfId="84" xr:uid="{00000000-0005-0000-0000-00007C000000}"/>
    <cellStyle name="Normal 2 2 2" xfId="93" xr:uid="{00000000-0005-0000-0000-00007D000000}"/>
    <cellStyle name="Normal 2 2 3" xfId="98" xr:uid="{00000000-0005-0000-0000-00007E000000}"/>
    <cellStyle name="Normal 2 2 3 2" xfId="89" xr:uid="{00000000-0005-0000-0000-00007F000000}"/>
    <cellStyle name="Normal 2 2 3 3" xfId="108" xr:uid="{00000000-0005-0000-0000-000080000000}"/>
    <cellStyle name="Normal 2 2 3 3 2" xfId="132" xr:uid="{00000000-0005-0000-0000-000081000000}"/>
    <cellStyle name="Normal 2 2 3 3 2 2" xfId="196" xr:uid="{00000000-0005-0000-0000-000082000000}"/>
    <cellStyle name="Normal 2 2 3 3 3" xfId="149" xr:uid="{00000000-0005-0000-0000-000083000000}"/>
    <cellStyle name="Normal 2 2 3 4" xfId="126" xr:uid="{00000000-0005-0000-0000-000084000000}"/>
    <cellStyle name="Normal 2 2 3 4 2" xfId="193" xr:uid="{00000000-0005-0000-0000-000085000000}"/>
    <cellStyle name="Normal 2 2 3 5" xfId="186" xr:uid="{00000000-0005-0000-0000-000086000000}"/>
    <cellStyle name="Normal 2 2 4" xfId="91" xr:uid="{00000000-0005-0000-0000-000087000000}"/>
    <cellStyle name="Normal 2 2 4 2" xfId="123" xr:uid="{00000000-0005-0000-0000-000088000000}"/>
    <cellStyle name="Normal 2 2 4 2 2" xfId="191" xr:uid="{00000000-0005-0000-0000-000089000000}"/>
    <cellStyle name="Normal 2 2 4 3" xfId="148" xr:uid="{00000000-0005-0000-0000-00008A000000}"/>
    <cellStyle name="Normal 3" xfId="46" xr:uid="{00000000-0005-0000-0000-00008B000000}"/>
    <cellStyle name="Normal 3 2" xfId="118" xr:uid="{00000000-0005-0000-0000-00008C000000}"/>
    <cellStyle name="Normal 3 2 2" xfId="153" xr:uid="{00000000-0005-0000-0000-00008D000000}"/>
    <cellStyle name="Normal 3 2 3" xfId="144" xr:uid="{00000000-0005-0000-0000-00008E000000}"/>
    <cellStyle name="Normal 3 3" xfId="139" xr:uid="{00000000-0005-0000-0000-00008F000000}"/>
    <cellStyle name="Normal 3 4" xfId="172" xr:uid="{00000000-0005-0000-0000-000090000000}"/>
    <cellStyle name="Normal 4" xfId="3" xr:uid="{00000000-0005-0000-0000-000091000000}"/>
    <cellStyle name="Normal 4 2" xfId="117" xr:uid="{00000000-0005-0000-0000-000092000000}"/>
    <cellStyle name="Normal 4 2 2" xfId="135" xr:uid="{00000000-0005-0000-0000-000093000000}"/>
    <cellStyle name="Normal 4 2 2 2" xfId="199" xr:uid="{00000000-0005-0000-0000-000094000000}"/>
    <cellStyle name="Normal 4 2 3" xfId="152" xr:uid="{00000000-0005-0000-0000-000095000000}"/>
    <cellStyle name="Normal 4 2 4" xfId="142" xr:uid="{00000000-0005-0000-0000-000096000000}"/>
    <cellStyle name="Normal 4 3" xfId="140" xr:uid="{00000000-0005-0000-0000-000097000000}"/>
    <cellStyle name="Normal 5" xfId="95" xr:uid="{00000000-0005-0000-0000-000098000000}"/>
    <cellStyle name="Normal 5 2" xfId="119" xr:uid="{00000000-0005-0000-0000-000099000000}"/>
    <cellStyle name="Normal 5 2 2" xfId="136" xr:uid="{00000000-0005-0000-0000-00009A000000}"/>
    <cellStyle name="Normal 5 2 2 2" xfId="200" xr:uid="{00000000-0005-0000-0000-00009B000000}"/>
    <cellStyle name="Normal 5 2 3" xfId="154" xr:uid="{00000000-0005-0000-0000-00009C000000}"/>
    <cellStyle name="Normal 5 2 4" xfId="146" xr:uid="{00000000-0005-0000-0000-00009D000000}"/>
    <cellStyle name="Normal 5 3" xfId="141" xr:uid="{00000000-0005-0000-0000-00009E000000}"/>
    <cellStyle name="Normal 5 4" xfId="184" xr:uid="{00000000-0005-0000-0000-00009F000000}"/>
    <cellStyle name="Normal 6" xfId="120" xr:uid="{00000000-0005-0000-0000-0000A0000000}"/>
    <cellStyle name="Normal 6 2" xfId="137" xr:uid="{00000000-0005-0000-0000-0000A1000000}"/>
    <cellStyle name="Normal 6 2 2" xfId="201" xr:uid="{00000000-0005-0000-0000-0000A2000000}"/>
    <cellStyle name="Normal 6 3" xfId="155" xr:uid="{00000000-0005-0000-0000-0000A3000000}"/>
    <cellStyle name="Normal 7" xfId="121" xr:uid="{00000000-0005-0000-0000-0000A4000000}"/>
    <cellStyle name="Notas" xfId="18" builtinId="10" customBuiltin="1"/>
    <cellStyle name="Note 2" xfId="47" xr:uid="{00000000-0005-0000-0000-0000A6000000}"/>
    <cellStyle name="Note 2 2" xfId="85" xr:uid="{00000000-0005-0000-0000-0000A7000000}"/>
    <cellStyle name="Note 2 3" xfId="173" xr:uid="{00000000-0005-0000-0000-0000A8000000}"/>
    <cellStyle name="Note 3" xfId="80" xr:uid="{00000000-0005-0000-0000-0000A9000000}"/>
    <cellStyle name="Note 4" xfId="96" xr:uid="{00000000-0005-0000-0000-0000AA000000}"/>
    <cellStyle name="Note 4 2" xfId="185" xr:uid="{00000000-0005-0000-0000-0000AB000000}"/>
    <cellStyle name="Notiz 2" xfId="159" xr:uid="{00000000-0005-0000-0000-0000AC000000}"/>
    <cellStyle name="Output 2" xfId="81" xr:uid="{00000000-0005-0000-0000-0000AE000000}"/>
    <cellStyle name="Percent 2" xfId="86" xr:uid="{00000000-0005-0000-0000-0000AF000000}"/>
    <cellStyle name="Percent 2 2" xfId="94" xr:uid="{00000000-0005-0000-0000-0000B0000000}"/>
    <cellStyle name="Percent 2 3" xfId="99" xr:uid="{00000000-0005-0000-0000-0000B1000000}"/>
    <cellStyle name="Percent 2 3 2" xfId="90" xr:uid="{00000000-0005-0000-0000-0000B2000000}"/>
    <cellStyle name="Percent 2 3 3" xfId="109" xr:uid="{00000000-0005-0000-0000-0000B3000000}"/>
    <cellStyle name="Percent 2 3 3 2" xfId="133" xr:uid="{00000000-0005-0000-0000-0000B4000000}"/>
    <cellStyle name="Percent 2 3 3 2 2" xfId="197" xr:uid="{00000000-0005-0000-0000-0000B5000000}"/>
    <cellStyle name="Percent 2 3 3 3" xfId="150" xr:uid="{00000000-0005-0000-0000-0000B6000000}"/>
    <cellStyle name="Percent 2 3 4" xfId="127" xr:uid="{00000000-0005-0000-0000-0000B7000000}"/>
    <cellStyle name="Percent 2 3 4 2" xfId="194" xr:uid="{00000000-0005-0000-0000-0000B8000000}"/>
    <cellStyle name="Percent 2 3 5" xfId="187" xr:uid="{00000000-0005-0000-0000-0000B9000000}"/>
    <cellStyle name="Percent 2 4" xfId="92" xr:uid="{00000000-0005-0000-0000-0000BA000000}"/>
    <cellStyle name="Percent 2 4 2" xfId="124" xr:uid="{00000000-0005-0000-0000-0000BB000000}"/>
    <cellStyle name="Percent 2 4 2 2" xfId="192" xr:uid="{00000000-0005-0000-0000-0000BC000000}"/>
    <cellStyle name="Percent 2 4 3" xfId="147" xr:uid="{00000000-0005-0000-0000-0000BD000000}"/>
    <cellStyle name="Percent 2 5" xfId="143" xr:uid="{00000000-0005-0000-0000-0000BE000000}"/>
    <cellStyle name="Percent 3" xfId="87" xr:uid="{00000000-0005-0000-0000-0000BF000000}"/>
    <cellStyle name="Prozent 2" xfId="157" xr:uid="{00000000-0005-0000-0000-0000C0000000}"/>
    <cellStyle name="Salida" xfId="13" builtinId="21" customBuiltin="1"/>
    <cellStyle name="Standard 2" xfId="158" xr:uid="{00000000-0005-0000-0000-0000C1000000}"/>
    <cellStyle name="Standard 3" xfId="156" xr:uid="{00000000-0005-0000-0000-0000C2000000}"/>
    <cellStyle name="TableStyleLight1" xfId="2" xr:uid="{00000000-0005-0000-0000-0000C3000000}"/>
    <cellStyle name="Texto de advertencia" xfId="17" builtinId="11" customBuiltin="1"/>
    <cellStyle name="Texto explicativo" xfId="19" builtinId="53" customBuiltin="1"/>
    <cellStyle name="Title 2" xfId="82" xr:uid="{00000000-0005-0000-0000-0000C5000000}"/>
    <cellStyle name="Title 3" xfId="116" xr:uid="{00000000-0005-0000-0000-0000C6000000}"/>
    <cellStyle name="Título" xfId="4" builtinId="15" customBuiltin="1"/>
    <cellStyle name="Título 2" xfId="6" builtinId="17" customBuiltin="1"/>
    <cellStyle name="Título 3" xfId="7" builtinId="18" customBuiltin="1"/>
    <cellStyle name="Total" xfId="20" builtinId="25" customBuiltin="1"/>
    <cellStyle name="Total 2" xfId="83" xr:uid="{00000000-0005-0000-0000-0000C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8"/>
  <sheetViews>
    <sheetView tabSelected="1" workbookViewId="0">
      <selection activeCell="E3" sqref="E3:E239"/>
    </sheetView>
  </sheetViews>
  <sheetFormatPr baseColWidth="10" defaultColWidth="9.109375" defaultRowHeight="14.4" x14ac:dyDescent="0.3"/>
  <cols>
    <col min="1" max="1" width="12.44140625" customWidth="1"/>
    <col min="2" max="2" width="9.109375" style="11"/>
    <col min="3" max="3" width="7.44140625" style="11" customWidth="1"/>
    <col min="4" max="4" width="8.6640625" style="11" customWidth="1"/>
    <col min="5" max="5" width="16" style="11" customWidth="1"/>
    <col min="6" max="6" width="10" style="12" customWidth="1"/>
    <col min="7" max="7" width="11.88671875" style="11" customWidth="1"/>
    <col min="11" max="11" width="8.109375" customWidth="1"/>
  </cols>
  <sheetData>
    <row r="1" spans="1:12" ht="29.25" customHeight="1" x14ac:dyDescent="0.3">
      <c r="A1" s="4" t="s">
        <v>5</v>
      </c>
      <c r="B1" s="7" t="s">
        <v>4</v>
      </c>
      <c r="C1" s="8" t="s">
        <v>2</v>
      </c>
      <c r="D1" s="8" t="s">
        <v>3</v>
      </c>
      <c r="E1" s="8" t="s">
        <v>1</v>
      </c>
      <c r="F1" s="9" t="s">
        <v>0</v>
      </c>
      <c r="G1" s="10" t="s">
        <v>6</v>
      </c>
      <c r="K1" s="1"/>
      <c r="L1" s="1"/>
    </row>
    <row r="2" spans="1:12" x14ac:dyDescent="0.3">
      <c r="A2" s="5">
        <v>27295</v>
      </c>
    </row>
    <row r="3" spans="1:12" x14ac:dyDescent="0.3">
      <c r="A3" s="5">
        <v>27414</v>
      </c>
      <c r="B3" s="11">
        <f t="shared" ref="B3:B66" si="0">YEAR(A3)</f>
        <v>1975</v>
      </c>
      <c r="C3" s="11">
        <f t="shared" ref="C3:C66" si="1">MONTH(A3)</f>
        <v>1</v>
      </c>
      <c r="D3" s="11">
        <f t="shared" ref="D3:D66" si="2">ROUNDUP(MONTH(A3)/3,0)</f>
        <v>1</v>
      </c>
      <c r="E3" s="11">
        <v>0</v>
      </c>
      <c r="F3" s="12">
        <v>27425</v>
      </c>
      <c r="G3" s="11">
        <f t="shared" ref="G3:G66" si="3">SUMIFS($E$3:$E$279,$B$3:$B$279,YEAR(F3),$C$3:$C$279,MONTH(F3))</f>
        <v>0</v>
      </c>
      <c r="L3" s="6"/>
    </row>
    <row r="4" spans="1:12" x14ac:dyDescent="0.3">
      <c r="A4" s="5">
        <v>27435</v>
      </c>
      <c r="B4" s="11">
        <f t="shared" si="0"/>
        <v>1975</v>
      </c>
      <c r="C4" s="11">
        <f t="shared" si="1"/>
        <v>2</v>
      </c>
      <c r="D4" s="11">
        <f t="shared" si="2"/>
        <v>1</v>
      </c>
      <c r="E4" s="11">
        <v>0</v>
      </c>
      <c r="F4" s="12">
        <v>27453</v>
      </c>
      <c r="G4" s="11">
        <f t="shared" si="3"/>
        <v>0</v>
      </c>
      <c r="L4" s="6"/>
    </row>
    <row r="5" spans="1:12" x14ac:dyDescent="0.3">
      <c r="A5" s="5">
        <v>27463</v>
      </c>
      <c r="B5" s="11">
        <f t="shared" si="0"/>
        <v>1975</v>
      </c>
      <c r="C5" s="11">
        <f t="shared" si="1"/>
        <v>3</v>
      </c>
      <c r="D5" s="11">
        <f t="shared" si="2"/>
        <v>1</v>
      </c>
      <c r="E5" s="11">
        <v>-0.48992550464935514</v>
      </c>
      <c r="F5" s="12">
        <v>27484</v>
      </c>
      <c r="G5" s="11">
        <f t="shared" si="3"/>
        <v>-0.48992550464935514</v>
      </c>
      <c r="L5" s="6"/>
    </row>
    <row r="6" spans="1:12" x14ac:dyDescent="0.3">
      <c r="A6" s="5">
        <v>27505</v>
      </c>
      <c r="B6" s="11">
        <f t="shared" si="0"/>
        <v>1975</v>
      </c>
      <c r="C6" s="11">
        <f t="shared" si="1"/>
        <v>4</v>
      </c>
      <c r="D6" s="11">
        <f t="shared" si="2"/>
        <v>2</v>
      </c>
      <c r="E6" s="11">
        <v>-7.6358290616304725E-2</v>
      </c>
      <c r="F6" s="12">
        <v>27514</v>
      </c>
      <c r="G6" s="11">
        <f t="shared" si="3"/>
        <v>-7.6358290616304725E-2</v>
      </c>
      <c r="L6" s="6"/>
    </row>
    <row r="7" spans="1:12" x14ac:dyDescent="0.3">
      <c r="A7" s="5">
        <v>27603</v>
      </c>
      <c r="B7" s="11">
        <f t="shared" si="0"/>
        <v>1975</v>
      </c>
      <c r="C7" s="11">
        <f t="shared" si="1"/>
        <v>7</v>
      </c>
      <c r="D7" s="11">
        <f t="shared" si="2"/>
        <v>3</v>
      </c>
      <c r="E7" s="11">
        <v>-0.33611216381671616</v>
      </c>
      <c r="F7" s="12">
        <v>27545</v>
      </c>
      <c r="G7" s="11">
        <f t="shared" si="3"/>
        <v>0</v>
      </c>
      <c r="L7" s="6"/>
    </row>
    <row r="8" spans="1:12" x14ac:dyDescent="0.3">
      <c r="A8" s="5">
        <v>27673</v>
      </c>
      <c r="B8" s="11">
        <f t="shared" si="0"/>
        <v>1975</v>
      </c>
      <c r="C8" s="11">
        <f t="shared" si="1"/>
        <v>10</v>
      </c>
      <c r="D8" s="11">
        <f t="shared" si="2"/>
        <v>4</v>
      </c>
      <c r="E8" s="11">
        <v>1.6448973998517713</v>
      </c>
      <c r="F8" s="12">
        <v>27575</v>
      </c>
      <c r="G8" s="11">
        <f t="shared" si="3"/>
        <v>0</v>
      </c>
      <c r="L8" s="6"/>
    </row>
    <row r="9" spans="1:12" x14ac:dyDescent="0.3">
      <c r="A9" s="5">
        <v>27715</v>
      </c>
      <c r="B9" s="11">
        <f t="shared" si="0"/>
        <v>1975</v>
      </c>
      <c r="C9" s="11">
        <f t="shared" si="1"/>
        <v>11</v>
      </c>
      <c r="D9" s="11">
        <f t="shared" si="2"/>
        <v>4</v>
      </c>
      <c r="E9" s="11">
        <v>0.40217113914976454</v>
      </c>
      <c r="F9" s="12">
        <v>27606</v>
      </c>
      <c r="G9" s="11">
        <f t="shared" si="3"/>
        <v>-0.33611216381671616</v>
      </c>
      <c r="L9" s="6"/>
    </row>
    <row r="10" spans="1:12" x14ac:dyDescent="0.3">
      <c r="A10" s="5">
        <v>27757</v>
      </c>
      <c r="B10" s="11">
        <f t="shared" si="0"/>
        <v>1975</v>
      </c>
      <c r="C10" s="11">
        <f t="shared" si="1"/>
        <v>12</v>
      </c>
      <c r="D10" s="11">
        <f t="shared" si="2"/>
        <v>4</v>
      </c>
      <c r="E10" s="11">
        <v>0.22838305386549629</v>
      </c>
      <c r="F10" s="12">
        <v>27637</v>
      </c>
      <c r="G10" s="11">
        <f t="shared" si="3"/>
        <v>0</v>
      </c>
      <c r="L10" s="6"/>
    </row>
    <row r="11" spans="1:12" x14ac:dyDescent="0.3">
      <c r="A11" s="5">
        <v>27778</v>
      </c>
      <c r="B11" s="11">
        <f t="shared" si="0"/>
        <v>1976</v>
      </c>
      <c r="C11" s="11">
        <f t="shared" si="1"/>
        <v>1</v>
      </c>
      <c r="D11" s="11">
        <f t="shared" si="2"/>
        <v>1</v>
      </c>
      <c r="E11" s="11">
        <v>-5.4865255961118548E-2</v>
      </c>
      <c r="F11" s="12">
        <v>27667</v>
      </c>
      <c r="G11" s="11">
        <f t="shared" si="3"/>
        <v>0</v>
      </c>
      <c r="L11" s="6"/>
    </row>
    <row r="12" spans="1:12" x14ac:dyDescent="0.3">
      <c r="A12" s="5">
        <v>27799</v>
      </c>
      <c r="B12" s="11">
        <f t="shared" si="0"/>
        <v>1976</v>
      </c>
      <c r="C12" s="11">
        <f t="shared" si="1"/>
        <v>2</v>
      </c>
      <c r="D12" s="11">
        <f t="shared" si="2"/>
        <v>1</v>
      </c>
      <c r="E12" s="11">
        <v>-0.80075984297600944</v>
      </c>
      <c r="F12" s="12">
        <v>27698</v>
      </c>
      <c r="G12" s="11">
        <f t="shared" si="3"/>
        <v>1.6448973998517713</v>
      </c>
      <c r="L12" s="6"/>
    </row>
    <row r="13" spans="1:12" x14ac:dyDescent="0.3">
      <c r="A13" s="5">
        <v>27827</v>
      </c>
      <c r="B13" s="11">
        <f t="shared" si="0"/>
        <v>1976</v>
      </c>
      <c r="C13" s="11">
        <f t="shared" si="1"/>
        <v>3</v>
      </c>
      <c r="D13" s="11">
        <f t="shared" si="2"/>
        <v>1</v>
      </c>
      <c r="E13" s="11">
        <v>-0.64397506350283862</v>
      </c>
      <c r="F13" s="12">
        <v>27728</v>
      </c>
      <c r="G13" s="11">
        <f t="shared" si="3"/>
        <v>0.40217113914976454</v>
      </c>
      <c r="L13" s="6"/>
    </row>
    <row r="14" spans="1:12" x14ac:dyDescent="0.3">
      <c r="A14" s="5">
        <v>27876</v>
      </c>
      <c r="B14" s="11">
        <f t="shared" si="0"/>
        <v>1976</v>
      </c>
      <c r="C14" s="11">
        <f t="shared" si="1"/>
        <v>4</v>
      </c>
      <c r="D14" s="11">
        <f t="shared" si="2"/>
        <v>2</v>
      </c>
      <c r="E14" s="11">
        <v>0.66429359813014588</v>
      </c>
      <c r="F14" s="12">
        <v>27759</v>
      </c>
      <c r="G14" s="11">
        <f t="shared" si="3"/>
        <v>0.22838305386549629</v>
      </c>
      <c r="L14" s="6"/>
    </row>
    <row r="15" spans="1:12" x14ac:dyDescent="0.3">
      <c r="A15" s="5">
        <v>28016</v>
      </c>
      <c r="B15" s="11">
        <f t="shared" si="0"/>
        <v>1976</v>
      </c>
      <c r="C15" s="11">
        <f t="shared" si="1"/>
        <v>9</v>
      </c>
      <c r="D15" s="11">
        <f t="shared" si="2"/>
        <v>3</v>
      </c>
      <c r="E15" s="11">
        <v>0.37132866396900943</v>
      </c>
      <c r="F15" s="12">
        <v>27790</v>
      </c>
      <c r="G15" s="11">
        <f t="shared" si="3"/>
        <v>-5.4865255961118548E-2</v>
      </c>
      <c r="L15" s="6"/>
    </row>
    <row r="16" spans="1:12" x14ac:dyDescent="0.3">
      <c r="A16" s="5">
        <v>28040</v>
      </c>
      <c r="B16" s="11">
        <f t="shared" si="0"/>
        <v>1976</v>
      </c>
      <c r="C16" s="11">
        <f t="shared" si="1"/>
        <v>10</v>
      </c>
      <c r="D16" s="11">
        <f t="shared" si="2"/>
        <v>4</v>
      </c>
      <c r="E16" s="11">
        <v>1.1609771598945595</v>
      </c>
      <c r="F16" s="12">
        <v>27819</v>
      </c>
      <c r="G16" s="11">
        <f t="shared" si="3"/>
        <v>-0.80075984297600944</v>
      </c>
      <c r="L16" s="6"/>
    </row>
    <row r="17" spans="1:18" x14ac:dyDescent="0.3">
      <c r="A17" s="5">
        <v>28086</v>
      </c>
      <c r="B17" s="11">
        <f t="shared" si="0"/>
        <v>1976</v>
      </c>
      <c r="C17" s="11">
        <f t="shared" si="1"/>
        <v>11</v>
      </c>
      <c r="D17" s="11">
        <f t="shared" si="2"/>
        <v>4</v>
      </c>
      <c r="E17" s="11">
        <v>6.1192639984074426E-2</v>
      </c>
      <c r="F17" s="12">
        <v>27850</v>
      </c>
      <c r="G17" s="11">
        <f t="shared" si="3"/>
        <v>-0.64397506350283862</v>
      </c>
      <c r="L17" s="6"/>
    </row>
    <row r="18" spans="1:18" x14ac:dyDescent="0.3">
      <c r="A18" s="5">
        <v>28123</v>
      </c>
      <c r="B18" s="11">
        <f t="shared" si="0"/>
        <v>1976</v>
      </c>
      <c r="C18" s="11">
        <f t="shared" si="1"/>
        <v>12</v>
      </c>
      <c r="D18" s="11">
        <f t="shared" si="2"/>
        <v>4</v>
      </c>
      <c r="E18" s="11">
        <v>-0.18933541440140667</v>
      </c>
      <c r="F18" s="12">
        <v>27880</v>
      </c>
      <c r="G18" s="11">
        <f t="shared" si="3"/>
        <v>0.66429359813014588</v>
      </c>
      <c r="L18" s="6"/>
    </row>
    <row r="19" spans="1:18" x14ac:dyDescent="0.3">
      <c r="A19" s="5">
        <v>28159</v>
      </c>
      <c r="B19" s="11">
        <f t="shared" si="0"/>
        <v>1977</v>
      </c>
      <c r="C19" s="11">
        <f t="shared" si="1"/>
        <v>2</v>
      </c>
      <c r="D19" s="11">
        <f t="shared" si="2"/>
        <v>1</v>
      </c>
      <c r="E19" s="11">
        <v>-1.5453494505663676</v>
      </c>
      <c r="F19" s="12">
        <v>27911</v>
      </c>
      <c r="G19" s="11">
        <f t="shared" si="3"/>
        <v>0</v>
      </c>
      <c r="L19" s="6"/>
    </row>
    <row r="20" spans="1:18" x14ac:dyDescent="0.3">
      <c r="A20" s="5">
        <v>28215</v>
      </c>
      <c r="B20" s="11">
        <f t="shared" si="0"/>
        <v>1977</v>
      </c>
      <c r="C20" s="11">
        <f t="shared" si="1"/>
        <v>3</v>
      </c>
      <c r="D20" s="11">
        <f t="shared" si="2"/>
        <v>1</v>
      </c>
      <c r="E20" s="11">
        <v>-1.3603875312216451</v>
      </c>
      <c r="F20" s="12">
        <v>27941</v>
      </c>
      <c r="G20" s="11">
        <f t="shared" si="3"/>
        <v>0</v>
      </c>
      <c r="L20" s="6"/>
    </row>
    <row r="21" spans="1:18" x14ac:dyDescent="0.3">
      <c r="A21" s="5">
        <v>28240</v>
      </c>
      <c r="B21" s="11">
        <f t="shared" si="0"/>
        <v>1977</v>
      </c>
      <c r="C21" s="11">
        <f t="shared" si="1"/>
        <v>4</v>
      </c>
      <c r="D21" s="11">
        <f t="shared" si="2"/>
        <v>2</v>
      </c>
      <c r="E21" s="11">
        <v>-0.74249360788825614</v>
      </c>
      <c r="F21" s="12">
        <v>27972</v>
      </c>
      <c r="G21" s="11">
        <f t="shared" si="3"/>
        <v>0</v>
      </c>
      <c r="L21" s="6"/>
    </row>
    <row r="22" spans="1:18" x14ac:dyDescent="0.3">
      <c r="A22" s="5">
        <v>28261</v>
      </c>
      <c r="B22" s="11">
        <f t="shared" si="0"/>
        <v>1977</v>
      </c>
      <c r="C22" s="11">
        <f t="shared" si="1"/>
        <v>5</v>
      </c>
      <c r="D22" s="11">
        <f t="shared" si="2"/>
        <v>2</v>
      </c>
      <c r="E22" s="11">
        <v>-0.2451338798156607</v>
      </c>
      <c r="F22" s="12">
        <v>28003</v>
      </c>
      <c r="G22" s="11">
        <f t="shared" si="3"/>
        <v>0</v>
      </c>
      <c r="L22" s="6"/>
    </row>
    <row r="23" spans="1:18" x14ac:dyDescent="0.3">
      <c r="A23" s="5">
        <v>28352</v>
      </c>
      <c r="B23" s="11">
        <f t="shared" si="0"/>
        <v>1977</v>
      </c>
      <c r="C23" s="11">
        <f t="shared" si="1"/>
        <v>8</v>
      </c>
      <c r="D23" s="11">
        <f t="shared" si="2"/>
        <v>3</v>
      </c>
      <c r="E23" s="11">
        <v>-1.4973645134238871</v>
      </c>
      <c r="F23" s="12">
        <v>28033</v>
      </c>
      <c r="G23" s="11">
        <f t="shared" si="3"/>
        <v>0.37132866396900943</v>
      </c>
      <c r="L23" s="6"/>
    </row>
    <row r="24" spans="1:18" x14ac:dyDescent="0.3">
      <c r="A24" s="5">
        <v>28387</v>
      </c>
      <c r="B24" s="11">
        <f t="shared" si="0"/>
        <v>1977</v>
      </c>
      <c r="C24" s="11">
        <f t="shared" si="1"/>
        <v>9</v>
      </c>
      <c r="D24" s="11">
        <f t="shared" si="2"/>
        <v>3</v>
      </c>
      <c r="E24" s="11">
        <v>-0.83953812601386657</v>
      </c>
      <c r="F24" s="12">
        <v>28064</v>
      </c>
      <c r="G24" s="11">
        <f t="shared" si="3"/>
        <v>1.1609771598945595</v>
      </c>
      <c r="L24" s="6"/>
    </row>
    <row r="25" spans="1:18" x14ac:dyDescent="0.3">
      <c r="A25" s="5">
        <v>28415</v>
      </c>
      <c r="B25" s="11">
        <f t="shared" si="0"/>
        <v>1977</v>
      </c>
      <c r="C25" s="11">
        <f t="shared" si="1"/>
        <v>10</v>
      </c>
      <c r="D25" s="11">
        <f t="shared" si="2"/>
        <v>4</v>
      </c>
      <c r="E25" s="11">
        <v>-1.1576797963606014</v>
      </c>
      <c r="F25" s="12">
        <v>28094</v>
      </c>
      <c r="G25" s="11">
        <f t="shared" si="3"/>
        <v>6.1192639984074426E-2</v>
      </c>
      <c r="L25" s="6"/>
    </row>
    <row r="26" spans="1:18" x14ac:dyDescent="0.3">
      <c r="A26" s="5">
        <v>28457</v>
      </c>
      <c r="B26" s="11">
        <f t="shared" si="0"/>
        <v>1977</v>
      </c>
      <c r="C26" s="11">
        <f t="shared" si="1"/>
        <v>11</v>
      </c>
      <c r="D26" s="11">
        <f t="shared" si="2"/>
        <v>4</v>
      </c>
      <c r="E26" s="11">
        <v>1.4458255914995357</v>
      </c>
      <c r="F26" s="12">
        <v>28125</v>
      </c>
      <c r="G26" s="11">
        <f t="shared" si="3"/>
        <v>-0.18933541440140667</v>
      </c>
      <c r="L26" s="6"/>
      <c r="R26" s="6"/>
    </row>
    <row r="27" spans="1:18" x14ac:dyDescent="0.3">
      <c r="A27" s="5">
        <v>28499</v>
      </c>
      <c r="B27" s="11">
        <f t="shared" si="0"/>
        <v>1978</v>
      </c>
      <c r="C27" s="11">
        <f t="shared" si="1"/>
        <v>1</v>
      </c>
      <c r="D27" s="11">
        <f t="shared" si="2"/>
        <v>1</v>
      </c>
      <c r="E27" s="11">
        <v>-0.44450013734701865</v>
      </c>
      <c r="F27" s="12">
        <v>28156</v>
      </c>
      <c r="G27" s="11">
        <f t="shared" si="3"/>
        <v>0</v>
      </c>
      <c r="L27" s="6"/>
      <c r="R27" s="6"/>
    </row>
    <row r="28" spans="1:18" x14ac:dyDescent="0.3">
      <c r="A28" s="5">
        <v>28592</v>
      </c>
      <c r="B28" s="11">
        <f t="shared" si="0"/>
        <v>1978</v>
      </c>
      <c r="C28" s="11">
        <f t="shared" si="1"/>
        <v>4</v>
      </c>
      <c r="D28" s="11">
        <f t="shared" si="2"/>
        <v>2</v>
      </c>
      <c r="E28" s="11">
        <v>0.17291898236295866</v>
      </c>
      <c r="F28" s="12">
        <v>28184</v>
      </c>
      <c r="G28" s="11">
        <f t="shared" si="3"/>
        <v>-1.5453494505663676</v>
      </c>
      <c r="L28" s="6"/>
      <c r="R28" s="6"/>
    </row>
    <row r="29" spans="1:18" x14ac:dyDescent="0.3">
      <c r="A29" s="5">
        <v>28625</v>
      </c>
      <c r="B29" s="11">
        <f t="shared" si="0"/>
        <v>1978</v>
      </c>
      <c r="C29" s="11">
        <f t="shared" si="1"/>
        <v>5</v>
      </c>
      <c r="D29" s="11">
        <f t="shared" si="2"/>
        <v>2</v>
      </c>
      <c r="E29" s="11">
        <v>0.67503119990488214</v>
      </c>
      <c r="F29" s="12">
        <v>28215</v>
      </c>
      <c r="G29" s="11">
        <f t="shared" si="3"/>
        <v>-1.3603875312216451</v>
      </c>
      <c r="L29" s="6"/>
      <c r="R29" s="6"/>
    </row>
    <row r="30" spans="1:18" x14ac:dyDescent="0.3">
      <c r="A30" s="5">
        <v>28649</v>
      </c>
      <c r="B30" s="11">
        <f t="shared" si="0"/>
        <v>1978</v>
      </c>
      <c r="C30" s="11">
        <f t="shared" si="1"/>
        <v>6</v>
      </c>
      <c r="D30" s="11">
        <f t="shared" si="2"/>
        <v>2</v>
      </c>
      <c r="E30" s="11">
        <v>0.27268020451744013</v>
      </c>
      <c r="F30" s="12">
        <v>28245</v>
      </c>
      <c r="G30" s="11">
        <f t="shared" si="3"/>
        <v>-0.74249360788825614</v>
      </c>
      <c r="L30" s="6"/>
      <c r="R30" s="6"/>
    </row>
    <row r="31" spans="1:18" x14ac:dyDescent="0.3">
      <c r="A31" s="5">
        <v>28803</v>
      </c>
      <c r="B31" s="11">
        <f t="shared" si="0"/>
        <v>1978</v>
      </c>
      <c r="C31" s="11">
        <f t="shared" si="1"/>
        <v>11</v>
      </c>
      <c r="D31" s="11">
        <f t="shared" si="2"/>
        <v>4</v>
      </c>
      <c r="E31" s="11">
        <v>1.8949856641743898</v>
      </c>
      <c r="F31" s="12">
        <v>28276</v>
      </c>
      <c r="G31" s="11">
        <f t="shared" si="3"/>
        <v>-0.2451338798156607</v>
      </c>
      <c r="L31" s="6"/>
      <c r="R31" s="6"/>
    </row>
    <row r="32" spans="1:18" x14ac:dyDescent="0.3">
      <c r="A32" s="5">
        <v>28894</v>
      </c>
      <c r="B32" s="11">
        <f t="shared" si="0"/>
        <v>1979</v>
      </c>
      <c r="C32" s="11">
        <f t="shared" si="1"/>
        <v>2</v>
      </c>
      <c r="D32" s="11">
        <f t="shared" si="2"/>
        <v>1</v>
      </c>
      <c r="E32" s="11">
        <v>0.93859045476821445</v>
      </c>
      <c r="F32" s="12">
        <v>28306</v>
      </c>
      <c r="G32" s="11">
        <f t="shared" si="3"/>
        <v>0</v>
      </c>
      <c r="L32" s="6"/>
      <c r="R32" s="6"/>
    </row>
    <row r="33" spans="1:18" x14ac:dyDescent="0.3">
      <c r="A33" s="5">
        <v>28915</v>
      </c>
      <c r="B33" s="11">
        <f t="shared" si="0"/>
        <v>1979</v>
      </c>
      <c r="C33" s="11">
        <f t="shared" si="1"/>
        <v>3</v>
      </c>
      <c r="D33" s="11">
        <f t="shared" si="2"/>
        <v>1</v>
      </c>
      <c r="E33" s="11">
        <v>-0.53602941191409259</v>
      </c>
      <c r="F33" s="12">
        <v>28337</v>
      </c>
      <c r="G33" s="11">
        <f t="shared" si="3"/>
        <v>0</v>
      </c>
      <c r="L33" s="6"/>
      <c r="R33" s="6"/>
    </row>
    <row r="34" spans="1:18" x14ac:dyDescent="0.3">
      <c r="A34" s="5">
        <v>28950</v>
      </c>
      <c r="B34" s="11">
        <f t="shared" si="0"/>
        <v>1979</v>
      </c>
      <c r="C34" s="11">
        <f t="shared" si="1"/>
        <v>4</v>
      </c>
      <c r="D34" s="11">
        <f t="shared" si="2"/>
        <v>2</v>
      </c>
      <c r="E34" s="11">
        <v>-1.6408007410085466</v>
      </c>
      <c r="F34" s="12">
        <v>28368</v>
      </c>
      <c r="G34" s="11">
        <f t="shared" si="3"/>
        <v>-1.4973645134238871</v>
      </c>
      <c r="L34" s="6"/>
      <c r="R34" s="6"/>
    </row>
    <row r="35" spans="1:18" x14ac:dyDescent="0.3">
      <c r="A35" s="5">
        <v>29019</v>
      </c>
      <c r="B35" s="11">
        <f t="shared" si="0"/>
        <v>1979</v>
      </c>
      <c r="C35" s="11">
        <f t="shared" si="1"/>
        <v>6</v>
      </c>
      <c r="D35" s="11">
        <f t="shared" si="2"/>
        <v>2</v>
      </c>
      <c r="E35" s="11">
        <v>1.7784109387937206</v>
      </c>
      <c r="F35" s="12">
        <v>28398</v>
      </c>
      <c r="G35" s="11">
        <f t="shared" si="3"/>
        <v>-0.83953812601386657</v>
      </c>
      <c r="L35" s="6"/>
      <c r="R35" s="6"/>
    </row>
    <row r="36" spans="1:18" x14ac:dyDescent="0.3">
      <c r="A36" s="5">
        <v>29174</v>
      </c>
      <c r="B36" s="11">
        <f t="shared" si="0"/>
        <v>1979</v>
      </c>
      <c r="C36" s="11">
        <f t="shared" si="1"/>
        <v>11</v>
      </c>
      <c r="D36" s="11">
        <f t="shared" si="2"/>
        <v>4</v>
      </c>
      <c r="E36" s="11">
        <v>2.1890392108795211</v>
      </c>
      <c r="F36" s="12">
        <v>28429</v>
      </c>
      <c r="G36" s="11">
        <f t="shared" si="3"/>
        <v>-1.1576797963606014</v>
      </c>
      <c r="L36" s="6"/>
      <c r="R36" s="6"/>
    </row>
    <row r="37" spans="1:18" x14ac:dyDescent="0.3">
      <c r="A37" s="5">
        <v>29405</v>
      </c>
      <c r="B37" s="11">
        <f t="shared" si="0"/>
        <v>1980</v>
      </c>
      <c r="C37" s="11">
        <f t="shared" si="1"/>
        <v>7</v>
      </c>
      <c r="D37" s="11">
        <f t="shared" si="2"/>
        <v>3</v>
      </c>
      <c r="E37" s="11">
        <v>-0.50168418484768895</v>
      </c>
      <c r="F37" s="12">
        <v>28459</v>
      </c>
      <c r="G37" s="11">
        <f t="shared" si="3"/>
        <v>1.4458255914995357</v>
      </c>
      <c r="L37" s="6"/>
      <c r="R37" s="6"/>
    </row>
    <row r="38" spans="1:18" x14ac:dyDescent="0.3">
      <c r="A38" s="5">
        <v>29550</v>
      </c>
      <c r="B38" s="11">
        <f t="shared" si="0"/>
        <v>1980</v>
      </c>
      <c r="C38" s="11">
        <f t="shared" si="1"/>
        <v>11</v>
      </c>
      <c r="D38" s="11">
        <f t="shared" si="2"/>
        <v>4</v>
      </c>
      <c r="E38" s="11">
        <v>-0.51393891602973962</v>
      </c>
      <c r="F38" s="12">
        <v>28490</v>
      </c>
      <c r="G38" s="11">
        <f t="shared" si="3"/>
        <v>0</v>
      </c>
      <c r="L38" s="6"/>
      <c r="R38" s="6"/>
    </row>
    <row r="39" spans="1:18" x14ac:dyDescent="0.3">
      <c r="A39" s="5">
        <v>29656</v>
      </c>
      <c r="B39" s="11">
        <f t="shared" si="0"/>
        <v>1981</v>
      </c>
      <c r="C39" s="11">
        <f t="shared" si="1"/>
        <v>3</v>
      </c>
      <c r="D39" s="11">
        <f t="shared" si="2"/>
        <v>1</v>
      </c>
      <c r="E39" s="11">
        <v>-1.0954751254757562</v>
      </c>
      <c r="F39" s="12">
        <v>28521</v>
      </c>
      <c r="G39" s="11">
        <f t="shared" si="3"/>
        <v>-0.44450013734701865</v>
      </c>
      <c r="L39" s="6"/>
      <c r="R39" s="6"/>
    </row>
    <row r="40" spans="1:18" x14ac:dyDescent="0.3">
      <c r="A40" s="5">
        <v>29823</v>
      </c>
      <c r="B40" s="11">
        <f t="shared" si="0"/>
        <v>1981</v>
      </c>
      <c r="C40" s="11">
        <f t="shared" si="1"/>
        <v>8</v>
      </c>
      <c r="D40" s="11">
        <f t="shared" si="2"/>
        <v>3</v>
      </c>
      <c r="E40" s="11">
        <v>0.3028100548517591</v>
      </c>
      <c r="F40" s="12">
        <v>28549</v>
      </c>
      <c r="G40" s="11">
        <f t="shared" si="3"/>
        <v>0</v>
      </c>
      <c r="L40" s="6"/>
      <c r="R40" s="6"/>
    </row>
    <row r="41" spans="1:18" x14ac:dyDescent="0.3">
      <c r="A41" s="5">
        <v>29844</v>
      </c>
      <c r="B41" s="11">
        <f t="shared" si="0"/>
        <v>1981</v>
      </c>
      <c r="C41" s="11">
        <f t="shared" si="1"/>
        <v>9</v>
      </c>
      <c r="D41" s="11">
        <f t="shared" si="2"/>
        <v>3</v>
      </c>
      <c r="E41" s="11">
        <v>0.93442372616790093</v>
      </c>
      <c r="F41" s="12">
        <v>28580</v>
      </c>
      <c r="G41" s="11">
        <f t="shared" si="3"/>
        <v>0</v>
      </c>
      <c r="L41" s="6"/>
      <c r="R41" s="6"/>
    </row>
    <row r="42" spans="1:18" x14ac:dyDescent="0.3">
      <c r="A42" s="5">
        <v>29887</v>
      </c>
      <c r="B42" s="11">
        <f t="shared" si="0"/>
        <v>1981</v>
      </c>
      <c r="C42" s="11">
        <f t="shared" si="1"/>
        <v>10</v>
      </c>
      <c r="D42" s="11">
        <f t="shared" si="2"/>
        <v>4</v>
      </c>
      <c r="E42" s="11">
        <v>0.28010476664948741</v>
      </c>
      <c r="F42" s="12">
        <v>28610</v>
      </c>
      <c r="G42" s="11">
        <f t="shared" si="3"/>
        <v>0.17291898236295866</v>
      </c>
      <c r="L42" s="6"/>
      <c r="R42" s="6"/>
    </row>
    <row r="43" spans="1:18" x14ac:dyDescent="0.3">
      <c r="A43" s="5">
        <v>29924</v>
      </c>
      <c r="B43" s="11">
        <f t="shared" si="0"/>
        <v>1981</v>
      </c>
      <c r="C43" s="11">
        <f t="shared" si="1"/>
        <v>12</v>
      </c>
      <c r="D43" s="11">
        <f t="shared" si="2"/>
        <v>4</v>
      </c>
      <c r="E43" s="11">
        <v>-8.5364271416593862E-2</v>
      </c>
      <c r="F43" s="12">
        <v>28641</v>
      </c>
      <c r="G43" s="11">
        <f t="shared" si="3"/>
        <v>0.67503119990488214</v>
      </c>
      <c r="L43" s="6"/>
      <c r="R43" s="6"/>
    </row>
    <row r="44" spans="1:18" x14ac:dyDescent="0.3">
      <c r="A44" s="5">
        <v>30004</v>
      </c>
      <c r="B44" s="11">
        <f t="shared" si="0"/>
        <v>1982</v>
      </c>
      <c r="C44" s="11">
        <f t="shared" si="1"/>
        <v>2</v>
      </c>
      <c r="D44" s="11">
        <f t="shared" si="2"/>
        <v>1</v>
      </c>
      <c r="E44" s="11">
        <v>-1.5821996542100099E-2</v>
      </c>
      <c r="F44" s="12">
        <v>28671</v>
      </c>
      <c r="G44" s="11">
        <f t="shared" si="3"/>
        <v>0.27268020451744013</v>
      </c>
      <c r="L44" s="6"/>
      <c r="R44" s="6"/>
    </row>
    <row r="45" spans="1:18" x14ac:dyDescent="0.3">
      <c r="A45" s="5">
        <v>30061</v>
      </c>
      <c r="B45" s="11">
        <f t="shared" si="0"/>
        <v>1982</v>
      </c>
      <c r="C45" s="11">
        <f t="shared" si="1"/>
        <v>4</v>
      </c>
      <c r="D45" s="11">
        <f t="shared" si="2"/>
        <v>2</v>
      </c>
      <c r="E45" s="11">
        <v>-3.2349418697274757E-3</v>
      </c>
      <c r="F45" s="12">
        <v>28702</v>
      </c>
      <c r="G45" s="11">
        <f t="shared" si="3"/>
        <v>0</v>
      </c>
      <c r="L45" s="6"/>
      <c r="R45" s="6"/>
    </row>
    <row r="46" spans="1:18" x14ac:dyDescent="0.3">
      <c r="A46" s="5">
        <v>30110</v>
      </c>
      <c r="B46" s="11">
        <f t="shared" si="0"/>
        <v>1982</v>
      </c>
      <c r="C46" s="11">
        <f t="shared" si="1"/>
        <v>6</v>
      </c>
      <c r="D46" s="11">
        <f t="shared" si="2"/>
        <v>2</v>
      </c>
      <c r="E46" s="11">
        <v>-0.29056445589037116</v>
      </c>
      <c r="F46" s="12">
        <v>28733</v>
      </c>
      <c r="G46" s="11">
        <f t="shared" si="3"/>
        <v>0</v>
      </c>
      <c r="L46" s="6"/>
      <c r="R46" s="6"/>
    </row>
    <row r="47" spans="1:18" x14ac:dyDescent="0.3">
      <c r="A47" s="5">
        <v>30141</v>
      </c>
      <c r="B47" s="11">
        <f t="shared" si="0"/>
        <v>1982</v>
      </c>
      <c r="C47" s="11">
        <f t="shared" si="1"/>
        <v>7</v>
      </c>
      <c r="D47" s="11">
        <f t="shared" si="2"/>
        <v>3</v>
      </c>
      <c r="E47" s="11">
        <v>0.29024601617270951</v>
      </c>
      <c r="F47" s="12">
        <v>28763</v>
      </c>
      <c r="G47" s="11">
        <f t="shared" si="3"/>
        <v>0</v>
      </c>
      <c r="L47" s="6"/>
      <c r="R47" s="6"/>
    </row>
    <row r="48" spans="1:18" x14ac:dyDescent="0.3">
      <c r="A48" s="5">
        <v>30167</v>
      </c>
      <c r="B48" s="11">
        <f t="shared" si="0"/>
        <v>1982</v>
      </c>
      <c r="C48" s="11">
        <f t="shared" si="1"/>
        <v>8</v>
      </c>
      <c r="D48" s="11">
        <f t="shared" si="2"/>
        <v>3</v>
      </c>
      <c r="E48" s="11">
        <v>-0.30615638260303052</v>
      </c>
      <c r="F48" s="12">
        <v>28794</v>
      </c>
      <c r="G48" s="11">
        <f t="shared" si="3"/>
        <v>0</v>
      </c>
      <c r="L48" s="6"/>
      <c r="R48" s="6"/>
    </row>
    <row r="49" spans="1:18" x14ac:dyDescent="0.3">
      <c r="A49" s="5">
        <v>30190</v>
      </c>
      <c r="B49" s="11">
        <f t="shared" si="0"/>
        <v>1982</v>
      </c>
      <c r="C49" s="11">
        <f t="shared" si="1"/>
        <v>8</v>
      </c>
      <c r="D49" s="11">
        <f t="shared" si="2"/>
        <v>3</v>
      </c>
      <c r="E49" s="11">
        <v>-0.43274054575947291</v>
      </c>
      <c r="F49" s="12">
        <v>28824</v>
      </c>
      <c r="G49" s="11">
        <f t="shared" si="3"/>
        <v>1.8949856641743898</v>
      </c>
      <c r="L49" s="6"/>
      <c r="R49" s="6"/>
    </row>
    <row r="50" spans="1:18" x14ac:dyDescent="0.3">
      <c r="A50" s="5">
        <v>30224</v>
      </c>
      <c r="B50" s="11">
        <f t="shared" si="0"/>
        <v>1982</v>
      </c>
      <c r="C50" s="11">
        <f t="shared" si="1"/>
        <v>9</v>
      </c>
      <c r="D50" s="11">
        <f t="shared" si="2"/>
        <v>3</v>
      </c>
      <c r="E50" s="11">
        <v>1.1448157943507065E-2</v>
      </c>
      <c r="F50" s="12">
        <v>28855</v>
      </c>
      <c r="G50" s="11">
        <f t="shared" si="3"/>
        <v>0</v>
      </c>
      <c r="L50" s="6"/>
      <c r="R50" s="6"/>
    </row>
    <row r="51" spans="1:18" x14ac:dyDescent="0.3">
      <c r="A51" s="5">
        <v>30328</v>
      </c>
      <c r="B51" s="11">
        <f t="shared" si="0"/>
        <v>1983</v>
      </c>
      <c r="C51" s="11">
        <f t="shared" si="1"/>
        <v>1</v>
      </c>
      <c r="D51" s="11">
        <f t="shared" si="2"/>
        <v>1</v>
      </c>
      <c r="E51" s="11">
        <v>1.9954612844116408</v>
      </c>
      <c r="F51" s="12">
        <v>28886</v>
      </c>
      <c r="G51" s="11">
        <f t="shared" si="3"/>
        <v>0</v>
      </c>
      <c r="L51" s="6"/>
      <c r="R51" s="6"/>
    </row>
    <row r="52" spans="1:18" x14ac:dyDescent="0.3">
      <c r="A52" s="5">
        <v>30390</v>
      </c>
      <c r="B52" s="11">
        <f t="shared" si="0"/>
        <v>1983</v>
      </c>
      <c r="C52" s="11">
        <f t="shared" si="1"/>
        <v>3</v>
      </c>
      <c r="D52" s="11">
        <f t="shared" si="2"/>
        <v>1</v>
      </c>
      <c r="E52" s="11">
        <v>0.2742376442326212</v>
      </c>
      <c r="F52" s="12">
        <v>28914</v>
      </c>
      <c r="G52" s="11">
        <f t="shared" si="3"/>
        <v>0.93859045476821445</v>
      </c>
      <c r="L52" s="6"/>
      <c r="R52" s="6"/>
    </row>
    <row r="53" spans="1:18" x14ac:dyDescent="0.3">
      <c r="A53" s="5">
        <v>30420</v>
      </c>
      <c r="B53" s="11">
        <f t="shared" si="0"/>
        <v>1983</v>
      </c>
      <c r="C53" s="11">
        <f t="shared" si="1"/>
        <v>4</v>
      </c>
      <c r="D53" s="11">
        <f t="shared" si="2"/>
        <v>2</v>
      </c>
      <c r="E53" s="11">
        <v>-0.33437288951885252</v>
      </c>
      <c r="F53" s="12">
        <v>28945</v>
      </c>
      <c r="G53" s="11">
        <f t="shared" si="3"/>
        <v>-0.53602941191409259</v>
      </c>
      <c r="L53" s="6"/>
      <c r="R53" s="6"/>
    </row>
    <row r="54" spans="1:18" x14ac:dyDescent="0.3">
      <c r="A54" s="5">
        <v>30481</v>
      </c>
      <c r="B54" s="11">
        <f t="shared" si="0"/>
        <v>1983</v>
      </c>
      <c r="C54" s="11">
        <f t="shared" si="1"/>
        <v>6</v>
      </c>
      <c r="D54" s="11">
        <f t="shared" si="2"/>
        <v>2</v>
      </c>
      <c r="E54" s="11">
        <v>-0.25118022830388537</v>
      </c>
      <c r="F54" s="12">
        <v>28975</v>
      </c>
      <c r="G54" s="11">
        <f t="shared" si="3"/>
        <v>-1.6408007410085466</v>
      </c>
      <c r="L54" s="6"/>
      <c r="R54" s="6"/>
    </row>
    <row r="55" spans="1:18" x14ac:dyDescent="0.3">
      <c r="A55" s="5">
        <v>30538</v>
      </c>
      <c r="B55" s="11">
        <f t="shared" si="0"/>
        <v>1983</v>
      </c>
      <c r="C55" s="11">
        <f t="shared" si="1"/>
        <v>8</v>
      </c>
      <c r="D55" s="11">
        <f t="shared" si="2"/>
        <v>3</v>
      </c>
      <c r="E55" s="11">
        <v>0.63783162965417906</v>
      </c>
      <c r="F55" s="12">
        <v>29006</v>
      </c>
      <c r="G55" s="11">
        <f t="shared" si="3"/>
        <v>0</v>
      </c>
      <c r="L55" s="6"/>
      <c r="R55" s="6"/>
    </row>
    <row r="56" spans="1:18" x14ac:dyDescent="0.3">
      <c r="A56" s="5">
        <v>30592</v>
      </c>
      <c r="B56" s="11">
        <f t="shared" si="0"/>
        <v>1983</v>
      </c>
      <c r="C56" s="11">
        <f t="shared" si="1"/>
        <v>10</v>
      </c>
      <c r="D56" s="11">
        <f t="shared" si="2"/>
        <v>4</v>
      </c>
      <c r="E56" s="11">
        <v>-0.31261081122214296</v>
      </c>
      <c r="F56" s="12">
        <v>29036</v>
      </c>
      <c r="G56" s="11">
        <f t="shared" si="3"/>
        <v>1.7784109387937206</v>
      </c>
      <c r="L56" s="6"/>
      <c r="R56" s="6"/>
    </row>
    <row r="57" spans="1:18" x14ac:dyDescent="0.3">
      <c r="A57" s="5">
        <v>30755</v>
      </c>
      <c r="B57" s="11">
        <f t="shared" si="0"/>
        <v>1984</v>
      </c>
      <c r="C57" s="11">
        <f t="shared" si="1"/>
        <v>3</v>
      </c>
      <c r="D57" s="11">
        <f t="shared" si="2"/>
        <v>1</v>
      </c>
      <c r="E57" s="11">
        <v>-0.10669742697507284</v>
      </c>
      <c r="F57" s="12">
        <v>29067</v>
      </c>
      <c r="G57" s="11">
        <f t="shared" si="3"/>
        <v>0</v>
      </c>
      <c r="L57" s="6"/>
      <c r="R57" s="6"/>
    </row>
    <row r="58" spans="1:18" x14ac:dyDescent="0.3">
      <c r="A58" s="5">
        <v>30812</v>
      </c>
      <c r="B58" s="11">
        <f t="shared" si="0"/>
        <v>1984</v>
      </c>
      <c r="C58" s="11">
        <f t="shared" si="1"/>
        <v>5</v>
      </c>
      <c r="D58" s="11">
        <f t="shared" si="2"/>
        <v>2</v>
      </c>
      <c r="E58" s="11">
        <v>0.69079483800030528</v>
      </c>
      <c r="F58" s="12">
        <v>29098</v>
      </c>
      <c r="G58" s="11">
        <f t="shared" si="3"/>
        <v>0</v>
      </c>
      <c r="L58" s="6"/>
      <c r="R58" s="6"/>
    </row>
    <row r="59" spans="1:18" x14ac:dyDescent="0.3">
      <c r="A59" s="5">
        <v>30862</v>
      </c>
      <c r="B59" s="11">
        <f t="shared" si="0"/>
        <v>1984</v>
      </c>
      <c r="C59" s="11">
        <f t="shared" si="1"/>
        <v>6</v>
      </c>
      <c r="D59" s="11">
        <f t="shared" si="2"/>
        <v>2</v>
      </c>
      <c r="E59" s="11">
        <v>0.52986307773007024</v>
      </c>
      <c r="F59" s="12">
        <v>29128</v>
      </c>
      <c r="G59" s="11">
        <f t="shared" si="3"/>
        <v>0</v>
      </c>
      <c r="L59" s="6"/>
      <c r="R59" s="6"/>
    </row>
    <row r="60" spans="1:18" x14ac:dyDescent="0.3">
      <c r="A60" s="5">
        <v>30911</v>
      </c>
      <c r="B60" s="11">
        <f t="shared" si="0"/>
        <v>1984</v>
      </c>
      <c r="C60" s="11">
        <f t="shared" si="1"/>
        <v>8</v>
      </c>
      <c r="D60" s="11">
        <f t="shared" si="2"/>
        <v>3</v>
      </c>
      <c r="E60" s="11">
        <v>-1.6665726842851309</v>
      </c>
      <c r="F60" s="12">
        <v>29159</v>
      </c>
      <c r="G60" s="11">
        <f t="shared" si="3"/>
        <v>0</v>
      </c>
      <c r="L60" s="6"/>
      <c r="R60" s="6"/>
    </row>
    <row r="61" spans="1:18" x14ac:dyDescent="0.3">
      <c r="A61" s="5">
        <v>30991</v>
      </c>
      <c r="B61" s="11">
        <f t="shared" si="0"/>
        <v>1984</v>
      </c>
      <c r="C61" s="11">
        <f t="shared" si="1"/>
        <v>11</v>
      </c>
      <c r="D61" s="11">
        <f t="shared" si="2"/>
        <v>4</v>
      </c>
      <c r="E61" s="11">
        <v>-0.66679288796069547</v>
      </c>
      <c r="F61" s="12">
        <v>29189</v>
      </c>
      <c r="G61" s="11">
        <f t="shared" si="3"/>
        <v>2.1890392108795211</v>
      </c>
      <c r="L61" s="6"/>
      <c r="R61" s="6"/>
    </row>
    <row r="62" spans="1:18" x14ac:dyDescent="0.3">
      <c r="A62" s="5">
        <v>31009</v>
      </c>
      <c r="B62" s="11">
        <f t="shared" si="0"/>
        <v>1984</v>
      </c>
      <c r="C62" s="11">
        <f t="shared" si="1"/>
        <v>11</v>
      </c>
      <c r="D62" s="11">
        <f t="shared" si="2"/>
        <v>4</v>
      </c>
      <c r="E62" s="11">
        <v>-0.66784899673165588</v>
      </c>
      <c r="F62" s="12">
        <v>29220</v>
      </c>
      <c r="G62" s="11">
        <f t="shared" si="3"/>
        <v>0</v>
      </c>
      <c r="L62" s="6"/>
      <c r="R62" s="6"/>
    </row>
    <row r="63" spans="1:18" x14ac:dyDescent="0.3">
      <c r="A63" s="5">
        <v>31061</v>
      </c>
      <c r="B63" s="11">
        <f t="shared" si="0"/>
        <v>1985</v>
      </c>
      <c r="C63" s="11">
        <f t="shared" si="1"/>
        <v>1</v>
      </c>
      <c r="D63" s="11">
        <f t="shared" si="2"/>
        <v>1</v>
      </c>
      <c r="E63" s="11">
        <v>2.3549624818338195</v>
      </c>
      <c r="F63" s="12">
        <v>29251</v>
      </c>
      <c r="G63" s="11">
        <f t="shared" si="3"/>
        <v>0</v>
      </c>
      <c r="L63" s="6"/>
      <c r="R63" s="6"/>
    </row>
    <row r="64" spans="1:18" x14ac:dyDescent="0.3">
      <c r="A64" s="5">
        <v>31134</v>
      </c>
      <c r="B64" s="11">
        <f t="shared" si="0"/>
        <v>1985</v>
      </c>
      <c r="C64" s="11">
        <f t="shared" si="1"/>
        <v>3</v>
      </c>
      <c r="D64" s="11">
        <f t="shared" si="2"/>
        <v>1</v>
      </c>
      <c r="E64" s="11">
        <v>-0.59972608740355948</v>
      </c>
      <c r="F64" s="12">
        <v>29280</v>
      </c>
      <c r="G64" s="11">
        <f t="shared" si="3"/>
        <v>0</v>
      </c>
      <c r="L64" s="6"/>
      <c r="R64" s="6"/>
    </row>
    <row r="65" spans="1:18" x14ac:dyDescent="0.3">
      <c r="A65" s="5">
        <v>31156</v>
      </c>
      <c r="B65" s="11">
        <f t="shared" si="0"/>
        <v>1985</v>
      </c>
      <c r="C65" s="11">
        <f t="shared" si="1"/>
        <v>4</v>
      </c>
      <c r="D65" s="11">
        <f t="shared" si="2"/>
        <v>2</v>
      </c>
      <c r="E65" s="11">
        <v>0.23531134849559454</v>
      </c>
      <c r="F65" s="12">
        <v>29311</v>
      </c>
      <c r="G65" s="11">
        <f t="shared" si="3"/>
        <v>0</v>
      </c>
      <c r="L65" s="6"/>
      <c r="R65" s="6"/>
    </row>
    <row r="66" spans="1:18" x14ac:dyDescent="0.3">
      <c r="A66" s="5">
        <v>31239</v>
      </c>
      <c r="B66" s="11">
        <f t="shared" si="0"/>
        <v>1985</v>
      </c>
      <c r="C66" s="11">
        <f t="shared" si="1"/>
        <v>7</v>
      </c>
      <c r="D66" s="11">
        <f t="shared" si="2"/>
        <v>3</v>
      </c>
      <c r="E66" s="11">
        <v>-0.27218453287841426</v>
      </c>
      <c r="F66" s="12">
        <v>29341</v>
      </c>
      <c r="G66" s="11">
        <f t="shared" si="3"/>
        <v>0</v>
      </c>
      <c r="L66" s="6"/>
      <c r="R66" s="6"/>
    </row>
    <row r="67" spans="1:18" x14ac:dyDescent="0.3">
      <c r="A67" s="5">
        <v>31254</v>
      </c>
      <c r="B67" s="11">
        <f t="shared" ref="B67:B130" si="4">YEAR(A67)</f>
        <v>1985</v>
      </c>
      <c r="C67" s="11">
        <f t="shared" ref="C67:C130" si="5">MONTH(A67)</f>
        <v>7</v>
      </c>
      <c r="D67" s="11">
        <f t="shared" ref="D67:D130" si="6">ROUNDUP(MONTH(A67)/3,0)</f>
        <v>3</v>
      </c>
      <c r="E67" s="11">
        <v>-0.27324064164937467</v>
      </c>
      <c r="F67" s="12">
        <v>29372</v>
      </c>
      <c r="G67" s="11">
        <f t="shared" ref="G67:G130" si="7">SUMIFS($E$3:$E$279,$B$3:$B$279,YEAR(F67),$C$3:$C$279,MONTH(F67))</f>
        <v>0</v>
      </c>
      <c r="L67" s="6"/>
      <c r="R67" s="6"/>
    </row>
    <row r="68" spans="1:18" x14ac:dyDescent="0.3">
      <c r="A68" s="5">
        <v>31427</v>
      </c>
      <c r="B68" s="11">
        <f t="shared" si="4"/>
        <v>1986</v>
      </c>
      <c r="C68" s="11">
        <f t="shared" si="5"/>
        <v>1</v>
      </c>
      <c r="D68" s="11">
        <f t="shared" si="6"/>
        <v>1</v>
      </c>
      <c r="E68" s="11">
        <v>1.1237021497356836</v>
      </c>
      <c r="F68" s="12">
        <v>29402</v>
      </c>
      <c r="G68" s="11">
        <f t="shared" si="7"/>
        <v>0</v>
      </c>
      <c r="L68" s="6"/>
      <c r="R68" s="6"/>
    </row>
    <row r="69" spans="1:18" x14ac:dyDescent="0.3">
      <c r="A69" s="5">
        <v>31490</v>
      </c>
      <c r="B69" s="11">
        <f t="shared" si="4"/>
        <v>1986</v>
      </c>
      <c r="C69" s="11">
        <f t="shared" si="5"/>
        <v>3</v>
      </c>
      <c r="D69" s="11">
        <f t="shared" si="6"/>
        <v>1</v>
      </c>
      <c r="E69" s="11">
        <v>-0.79407239338735058</v>
      </c>
      <c r="F69" s="12">
        <v>29433</v>
      </c>
      <c r="G69" s="11">
        <f t="shared" si="7"/>
        <v>-0.50168418484768895</v>
      </c>
      <c r="L69" s="6"/>
      <c r="R69" s="6"/>
    </row>
    <row r="70" spans="1:18" x14ac:dyDescent="0.3">
      <c r="A70" s="5">
        <v>31520</v>
      </c>
      <c r="B70" s="11">
        <f t="shared" si="4"/>
        <v>1986</v>
      </c>
      <c r="C70" s="11">
        <f t="shared" si="5"/>
        <v>4</v>
      </c>
      <c r="D70" s="11">
        <f t="shared" si="6"/>
        <v>2</v>
      </c>
      <c r="E70" s="11">
        <v>-0.43555587674391338</v>
      </c>
      <c r="F70" s="12">
        <v>29464</v>
      </c>
      <c r="G70" s="11">
        <f t="shared" si="7"/>
        <v>0</v>
      </c>
      <c r="L70" s="6"/>
      <c r="R70" s="6"/>
    </row>
    <row r="71" spans="1:18" x14ac:dyDescent="0.3">
      <c r="A71" s="5">
        <v>31555</v>
      </c>
      <c r="B71" s="11">
        <f t="shared" si="4"/>
        <v>1986</v>
      </c>
      <c r="C71" s="11">
        <f t="shared" si="5"/>
        <v>5</v>
      </c>
      <c r="D71" s="11">
        <f t="shared" si="6"/>
        <v>2</v>
      </c>
      <c r="E71" s="11">
        <v>-0.34867713611760426</v>
      </c>
      <c r="F71" s="12">
        <v>29494</v>
      </c>
      <c r="G71" s="11">
        <f t="shared" si="7"/>
        <v>0</v>
      </c>
      <c r="L71" s="6"/>
      <c r="R71" s="6"/>
    </row>
    <row r="72" spans="1:18" x14ac:dyDescent="0.3">
      <c r="A72" s="5">
        <v>31700</v>
      </c>
      <c r="B72" s="11">
        <f t="shared" si="4"/>
        <v>1986</v>
      </c>
      <c r="C72" s="11">
        <f t="shared" si="5"/>
        <v>10</v>
      </c>
      <c r="D72" s="11">
        <f t="shared" si="6"/>
        <v>4</v>
      </c>
      <c r="E72" s="11">
        <v>1.0421916526285264</v>
      </c>
      <c r="F72" s="12">
        <v>29525</v>
      </c>
      <c r="G72" s="11">
        <f t="shared" si="7"/>
        <v>0</v>
      </c>
      <c r="L72" s="6"/>
      <c r="R72" s="6"/>
    </row>
    <row r="73" spans="1:18" x14ac:dyDescent="0.3">
      <c r="A73" s="5">
        <v>31845</v>
      </c>
      <c r="B73" s="11">
        <f t="shared" si="4"/>
        <v>1987</v>
      </c>
      <c r="C73" s="11">
        <f t="shared" si="5"/>
        <v>3</v>
      </c>
      <c r="D73" s="11">
        <f t="shared" si="6"/>
        <v>1</v>
      </c>
      <c r="E73" s="11">
        <v>-0.58062639322435594</v>
      </c>
      <c r="F73" s="12">
        <v>29555</v>
      </c>
      <c r="G73" s="11">
        <f t="shared" si="7"/>
        <v>-0.51393891602973962</v>
      </c>
      <c r="L73" s="6"/>
      <c r="R73" s="6"/>
    </row>
    <row r="74" spans="1:18" x14ac:dyDescent="0.3">
      <c r="A74" s="5">
        <v>31905</v>
      </c>
      <c r="B74" s="11">
        <f t="shared" si="4"/>
        <v>1987</v>
      </c>
      <c r="C74" s="11">
        <f t="shared" si="5"/>
        <v>5</v>
      </c>
      <c r="D74" s="11">
        <f t="shared" si="6"/>
        <v>2</v>
      </c>
      <c r="E74" s="11">
        <v>-0.74447768432719208</v>
      </c>
      <c r="F74" s="12">
        <v>29586</v>
      </c>
      <c r="G74" s="11">
        <f t="shared" si="7"/>
        <v>0</v>
      </c>
      <c r="L74" s="6"/>
      <c r="R74" s="6"/>
    </row>
    <row r="75" spans="1:18" x14ac:dyDescent="0.3">
      <c r="A75" s="5">
        <v>31995</v>
      </c>
      <c r="B75" s="11">
        <f t="shared" si="4"/>
        <v>1987</v>
      </c>
      <c r="C75" s="11">
        <f t="shared" si="5"/>
        <v>8</v>
      </c>
      <c r="D75" s="11">
        <f t="shared" si="6"/>
        <v>3</v>
      </c>
      <c r="E75" s="11">
        <v>1.7878488955388612</v>
      </c>
      <c r="F75" s="12">
        <v>29617</v>
      </c>
      <c r="G75" s="11">
        <f t="shared" si="7"/>
        <v>0</v>
      </c>
      <c r="L75" s="6"/>
      <c r="R75" s="6"/>
    </row>
    <row r="76" spans="1:18" x14ac:dyDescent="0.3">
      <c r="A76" s="5">
        <v>32085</v>
      </c>
      <c r="B76" s="11">
        <f t="shared" si="4"/>
        <v>1987</v>
      </c>
      <c r="C76" s="11">
        <f t="shared" si="5"/>
        <v>11</v>
      </c>
      <c r="D76" s="11">
        <f t="shared" si="6"/>
        <v>4</v>
      </c>
      <c r="E76" s="11">
        <v>-1.3563883884880841</v>
      </c>
      <c r="F76" s="12">
        <v>29645</v>
      </c>
      <c r="G76" s="11">
        <f t="shared" si="7"/>
        <v>0</v>
      </c>
      <c r="L76" s="6"/>
      <c r="R76" s="6"/>
    </row>
    <row r="77" spans="1:18" x14ac:dyDescent="0.3">
      <c r="A77" s="5">
        <v>32114</v>
      </c>
      <c r="B77" s="11">
        <f t="shared" si="4"/>
        <v>1987</v>
      </c>
      <c r="C77" s="11">
        <f t="shared" si="5"/>
        <v>12</v>
      </c>
      <c r="D77" s="11">
        <f t="shared" si="6"/>
        <v>4</v>
      </c>
      <c r="E77" s="11">
        <v>-0.78209365818734744</v>
      </c>
      <c r="F77" s="12">
        <v>29676</v>
      </c>
      <c r="G77" s="11">
        <f t="shared" si="7"/>
        <v>-1.0954751254757562</v>
      </c>
      <c r="L77" s="6"/>
      <c r="R77" s="6"/>
    </row>
    <row r="78" spans="1:18" x14ac:dyDescent="0.3">
      <c r="A78" s="5">
        <v>32174</v>
      </c>
      <c r="B78" s="11">
        <f t="shared" si="4"/>
        <v>1988</v>
      </c>
      <c r="C78" s="11">
        <f t="shared" si="5"/>
        <v>2</v>
      </c>
      <c r="D78" s="11">
        <f t="shared" si="6"/>
        <v>1</v>
      </c>
      <c r="E78" s="11">
        <v>0.41749273790094615</v>
      </c>
      <c r="F78" s="12">
        <v>29706</v>
      </c>
      <c r="G78" s="11">
        <f t="shared" si="7"/>
        <v>0</v>
      </c>
      <c r="L78" s="6"/>
      <c r="R78" s="6"/>
    </row>
    <row r="79" spans="1:18" x14ac:dyDescent="0.3">
      <c r="A79" s="5">
        <v>32219</v>
      </c>
      <c r="B79" s="11">
        <f t="shared" si="4"/>
        <v>1988</v>
      </c>
      <c r="C79" s="11">
        <f t="shared" si="5"/>
        <v>3</v>
      </c>
      <c r="D79" s="11">
        <f t="shared" si="6"/>
        <v>1</v>
      </c>
      <c r="E79" s="11">
        <v>-0.50824262933944142</v>
      </c>
      <c r="F79" s="12">
        <v>29737</v>
      </c>
      <c r="G79" s="11">
        <f t="shared" si="7"/>
        <v>0</v>
      </c>
      <c r="L79" s="6"/>
      <c r="R79" s="6"/>
    </row>
    <row r="80" spans="1:18" x14ac:dyDescent="0.3">
      <c r="A80" s="5">
        <v>32241</v>
      </c>
      <c r="B80" s="11">
        <f t="shared" si="4"/>
        <v>1988</v>
      </c>
      <c r="C80" s="11">
        <f t="shared" si="5"/>
        <v>4</v>
      </c>
      <c r="D80" s="11">
        <f t="shared" si="6"/>
        <v>2</v>
      </c>
      <c r="E80" s="11">
        <v>-0.51026098920879481</v>
      </c>
      <c r="F80" s="12">
        <v>29767</v>
      </c>
      <c r="G80" s="11">
        <f t="shared" si="7"/>
        <v>0</v>
      </c>
      <c r="L80" s="6"/>
      <c r="R80" s="6"/>
    </row>
    <row r="81" spans="1:18" x14ac:dyDescent="0.3">
      <c r="A81" s="5">
        <v>32280</v>
      </c>
      <c r="B81" s="11">
        <f t="shared" si="4"/>
        <v>1988</v>
      </c>
      <c r="C81" s="11">
        <f t="shared" si="5"/>
        <v>5</v>
      </c>
      <c r="D81" s="11">
        <f t="shared" si="6"/>
        <v>2</v>
      </c>
      <c r="E81" s="11">
        <v>-0.42637508639332161</v>
      </c>
      <c r="F81" s="12">
        <v>29798</v>
      </c>
      <c r="G81" s="11">
        <f t="shared" si="7"/>
        <v>0</v>
      </c>
      <c r="L81" s="6"/>
      <c r="R81" s="6"/>
    </row>
    <row r="82" spans="1:18" x14ac:dyDescent="0.3">
      <c r="A82" s="5">
        <v>32318</v>
      </c>
      <c r="B82" s="11">
        <f t="shared" si="4"/>
        <v>1988</v>
      </c>
      <c r="C82" s="11">
        <f t="shared" si="5"/>
        <v>6</v>
      </c>
      <c r="D82" s="11">
        <f t="shared" si="6"/>
        <v>2</v>
      </c>
      <c r="E82" s="11">
        <v>0.36947691999977539</v>
      </c>
      <c r="F82" s="12">
        <v>29829</v>
      </c>
      <c r="G82" s="11">
        <f t="shared" si="7"/>
        <v>0.3028100548517591</v>
      </c>
      <c r="L82" s="6"/>
      <c r="R82" s="6"/>
    </row>
    <row r="83" spans="1:18" x14ac:dyDescent="0.3">
      <c r="A83" s="5">
        <v>32345</v>
      </c>
      <c r="B83" s="11">
        <f t="shared" si="4"/>
        <v>1988</v>
      </c>
      <c r="C83" s="11">
        <f t="shared" si="5"/>
        <v>7</v>
      </c>
      <c r="D83" s="11">
        <f t="shared" si="6"/>
        <v>3</v>
      </c>
      <c r="E83" s="11">
        <v>0.50887388122154131</v>
      </c>
      <c r="F83" s="12">
        <v>29859</v>
      </c>
      <c r="G83" s="11">
        <f t="shared" si="7"/>
        <v>0.93442372616790093</v>
      </c>
      <c r="L83" s="6"/>
      <c r="R83" s="6"/>
    </row>
    <row r="84" spans="1:18" x14ac:dyDescent="0.3">
      <c r="A84" s="5">
        <v>32363</v>
      </c>
      <c r="B84" s="11">
        <f t="shared" si="4"/>
        <v>1988</v>
      </c>
      <c r="C84" s="11">
        <f t="shared" si="5"/>
        <v>8</v>
      </c>
      <c r="D84" s="11">
        <f t="shared" si="6"/>
        <v>3</v>
      </c>
      <c r="E84" s="11">
        <v>0.57064384053252359</v>
      </c>
      <c r="F84" s="12">
        <v>29890</v>
      </c>
      <c r="G84" s="11">
        <f t="shared" si="7"/>
        <v>0.28010476664948741</v>
      </c>
      <c r="L84" s="6"/>
      <c r="R84" s="6"/>
    </row>
    <row r="85" spans="1:18" x14ac:dyDescent="0.3">
      <c r="A85" s="5">
        <v>32380</v>
      </c>
      <c r="B85" s="11">
        <f t="shared" si="4"/>
        <v>1988</v>
      </c>
      <c r="C85" s="11">
        <f t="shared" si="5"/>
        <v>8</v>
      </c>
      <c r="D85" s="11">
        <f t="shared" si="6"/>
        <v>3</v>
      </c>
      <c r="E85" s="11">
        <v>0.64914412869678495</v>
      </c>
      <c r="F85" s="12">
        <v>29920</v>
      </c>
      <c r="G85" s="11">
        <f t="shared" si="7"/>
        <v>0</v>
      </c>
      <c r="L85" s="6"/>
      <c r="R85" s="6"/>
    </row>
    <row r="86" spans="1:18" x14ac:dyDescent="0.3">
      <c r="A86" s="5">
        <v>32472</v>
      </c>
      <c r="B86" s="11">
        <f t="shared" si="4"/>
        <v>1988</v>
      </c>
      <c r="C86" s="11">
        <f t="shared" si="5"/>
        <v>11</v>
      </c>
      <c r="D86" s="11">
        <f t="shared" si="6"/>
        <v>4</v>
      </c>
      <c r="E86" s="11">
        <v>0.48962256546243754</v>
      </c>
      <c r="F86" s="12">
        <v>29951</v>
      </c>
      <c r="G86" s="11">
        <f t="shared" si="7"/>
        <v>-8.5364271416593862E-2</v>
      </c>
      <c r="L86" s="6"/>
      <c r="R86" s="6"/>
    </row>
    <row r="87" spans="1:18" x14ac:dyDescent="0.3">
      <c r="A87" s="5">
        <v>32653</v>
      </c>
      <c r="B87" s="11">
        <f t="shared" si="4"/>
        <v>1989</v>
      </c>
      <c r="C87" s="11">
        <f t="shared" si="5"/>
        <v>5</v>
      </c>
      <c r="D87" s="11">
        <f t="shared" si="6"/>
        <v>2</v>
      </c>
      <c r="E87" s="11">
        <v>0.2259368568693656</v>
      </c>
      <c r="F87" s="12">
        <v>29982</v>
      </c>
      <c r="G87" s="11">
        <f t="shared" si="7"/>
        <v>0</v>
      </c>
      <c r="L87" s="6"/>
      <c r="R87" s="6"/>
    </row>
    <row r="88" spans="1:18" x14ac:dyDescent="0.3">
      <c r="A88" s="5">
        <v>32759</v>
      </c>
      <c r="B88" s="11">
        <f t="shared" si="4"/>
        <v>1989</v>
      </c>
      <c r="C88" s="11">
        <f t="shared" si="5"/>
        <v>9</v>
      </c>
      <c r="D88" s="11">
        <f t="shared" si="6"/>
        <v>3</v>
      </c>
      <c r="E88" s="11">
        <v>-0.44213766379366048</v>
      </c>
      <c r="F88" s="12">
        <v>30010</v>
      </c>
      <c r="G88" s="11">
        <f t="shared" si="7"/>
        <v>-1.5821996542100099E-2</v>
      </c>
      <c r="L88" s="6"/>
      <c r="R88" s="6"/>
    </row>
    <row r="89" spans="1:18" x14ac:dyDescent="0.3">
      <c r="A89" s="5">
        <v>32787</v>
      </c>
      <c r="B89" s="11">
        <f t="shared" si="4"/>
        <v>1989</v>
      </c>
      <c r="C89" s="11">
        <f t="shared" si="5"/>
        <v>10</v>
      </c>
      <c r="D89" s="11">
        <f t="shared" si="6"/>
        <v>4</v>
      </c>
      <c r="E89" s="11">
        <v>0.73092840860317132</v>
      </c>
      <c r="F89" s="12">
        <v>30041</v>
      </c>
      <c r="G89" s="11">
        <f t="shared" si="7"/>
        <v>0</v>
      </c>
      <c r="L89" s="6"/>
      <c r="R89" s="6"/>
    </row>
    <row r="90" spans="1:18" x14ac:dyDescent="0.3">
      <c r="A90" s="5">
        <v>33154</v>
      </c>
      <c r="B90" s="11">
        <f t="shared" si="4"/>
        <v>1990</v>
      </c>
      <c r="C90" s="11">
        <f t="shared" si="5"/>
        <v>10</v>
      </c>
      <c r="D90" s="11">
        <f t="shared" si="6"/>
        <v>4</v>
      </c>
      <c r="E90" s="11">
        <v>-0.26277030331621254</v>
      </c>
      <c r="F90" s="12">
        <v>30071</v>
      </c>
      <c r="G90" s="11">
        <f t="shared" si="7"/>
        <v>-3.2349418697274757E-3</v>
      </c>
      <c r="L90" s="6"/>
      <c r="R90" s="6"/>
    </row>
    <row r="91" spans="1:18" x14ac:dyDescent="0.3">
      <c r="A91" s="5">
        <v>33296</v>
      </c>
      <c r="B91" s="11">
        <f t="shared" si="4"/>
        <v>1991</v>
      </c>
      <c r="C91" s="11">
        <f t="shared" si="5"/>
        <v>2</v>
      </c>
      <c r="D91" s="11">
        <f t="shared" si="6"/>
        <v>1</v>
      </c>
      <c r="E91" s="11">
        <v>0.29070232628852744</v>
      </c>
      <c r="F91" s="12">
        <v>30102</v>
      </c>
      <c r="G91" s="11">
        <f t="shared" si="7"/>
        <v>0</v>
      </c>
      <c r="L91" s="6"/>
      <c r="R91" s="6"/>
    </row>
    <row r="92" spans="1:18" x14ac:dyDescent="0.3">
      <c r="A92" s="5">
        <v>33319</v>
      </c>
      <c r="B92" s="11">
        <f t="shared" si="4"/>
        <v>1991</v>
      </c>
      <c r="C92" s="11">
        <f t="shared" si="5"/>
        <v>3</v>
      </c>
      <c r="D92" s="11">
        <f t="shared" si="6"/>
        <v>1</v>
      </c>
      <c r="E92" s="11">
        <v>0.36584463332579631</v>
      </c>
      <c r="F92" s="12">
        <v>30132</v>
      </c>
      <c r="G92" s="11">
        <f t="shared" si="7"/>
        <v>-0.29056445589037116</v>
      </c>
      <c r="L92" s="6"/>
      <c r="R92" s="6"/>
    </row>
    <row r="93" spans="1:18" x14ac:dyDescent="0.3">
      <c r="A93" s="5">
        <v>33340</v>
      </c>
      <c r="B93" s="11">
        <f t="shared" si="4"/>
        <v>1991</v>
      </c>
      <c r="C93" s="11">
        <f t="shared" si="5"/>
        <v>4</v>
      </c>
      <c r="D93" s="11">
        <f t="shared" si="6"/>
        <v>2</v>
      </c>
      <c r="E93" s="11">
        <v>0.34512010586273689</v>
      </c>
      <c r="F93" s="12">
        <v>30163</v>
      </c>
      <c r="G93" s="11">
        <f t="shared" si="7"/>
        <v>0.29024601617270951</v>
      </c>
      <c r="L93" s="6"/>
      <c r="R93" s="6"/>
    </row>
    <row r="94" spans="1:18" x14ac:dyDescent="0.3">
      <c r="A94" s="5">
        <v>33382</v>
      </c>
      <c r="B94" s="11">
        <f t="shared" si="4"/>
        <v>1991</v>
      </c>
      <c r="C94" s="11">
        <f t="shared" si="5"/>
        <v>5</v>
      </c>
      <c r="D94" s="11">
        <f t="shared" si="6"/>
        <v>2</v>
      </c>
      <c r="E94" s="11">
        <v>-0.11522849781882538</v>
      </c>
      <c r="F94" s="12">
        <v>30194</v>
      </c>
      <c r="G94" s="11">
        <f t="shared" si="7"/>
        <v>-0.73889692836250342</v>
      </c>
      <c r="L94" s="6"/>
      <c r="R94" s="6"/>
    </row>
    <row r="95" spans="1:18" x14ac:dyDescent="0.3">
      <c r="A95" s="5">
        <v>33431</v>
      </c>
      <c r="B95" s="11">
        <f t="shared" si="4"/>
        <v>1991</v>
      </c>
      <c r="C95" s="11">
        <f t="shared" si="5"/>
        <v>7</v>
      </c>
      <c r="D95" s="11">
        <f t="shared" si="6"/>
        <v>3</v>
      </c>
      <c r="E95" s="11">
        <v>-0.1672212400959171</v>
      </c>
      <c r="F95" s="12">
        <v>30224</v>
      </c>
      <c r="G95" s="11">
        <f t="shared" si="7"/>
        <v>1.1448157943507065E-2</v>
      </c>
      <c r="L95" s="6"/>
      <c r="R95" s="6"/>
    </row>
    <row r="96" spans="1:18" x14ac:dyDescent="0.3">
      <c r="A96" s="5">
        <v>33485</v>
      </c>
      <c r="B96" s="11">
        <f t="shared" si="4"/>
        <v>1991</v>
      </c>
      <c r="C96" s="11">
        <f t="shared" si="5"/>
        <v>9</v>
      </c>
      <c r="D96" s="11">
        <f t="shared" si="6"/>
        <v>3</v>
      </c>
      <c r="E96" s="11">
        <v>8.0028618965474974E-2</v>
      </c>
      <c r="F96" s="12">
        <v>30255</v>
      </c>
      <c r="G96" s="11">
        <f t="shared" si="7"/>
        <v>0</v>
      </c>
      <c r="L96" s="6"/>
      <c r="R96" s="6"/>
    </row>
    <row r="97" spans="1:18" x14ac:dyDescent="0.3">
      <c r="A97" s="5">
        <v>33729</v>
      </c>
      <c r="B97" s="11">
        <f t="shared" si="4"/>
        <v>1992</v>
      </c>
      <c r="C97" s="11">
        <f t="shared" si="5"/>
        <v>5</v>
      </c>
      <c r="D97" s="11">
        <f t="shared" si="6"/>
        <v>2</v>
      </c>
      <c r="E97" s="11">
        <v>-0.43157799485463383</v>
      </c>
      <c r="F97" s="12">
        <v>30285</v>
      </c>
      <c r="G97" s="11">
        <f t="shared" si="7"/>
        <v>0</v>
      </c>
      <c r="L97" s="6"/>
      <c r="R97" s="6"/>
    </row>
    <row r="98" spans="1:18" x14ac:dyDescent="0.3">
      <c r="A98" s="5">
        <v>33869</v>
      </c>
      <c r="B98" s="11">
        <f t="shared" si="4"/>
        <v>1992</v>
      </c>
      <c r="C98" s="11">
        <f t="shared" si="5"/>
        <v>9</v>
      </c>
      <c r="D98" s="11">
        <f t="shared" si="6"/>
        <v>3</v>
      </c>
      <c r="E98" s="11">
        <v>-0.48676776916415709</v>
      </c>
      <c r="F98" s="12">
        <v>30316</v>
      </c>
      <c r="G98" s="11">
        <f t="shared" si="7"/>
        <v>0</v>
      </c>
      <c r="L98" s="6"/>
      <c r="R98" s="6"/>
    </row>
    <row r="99" spans="1:18" x14ac:dyDescent="0.3">
      <c r="A99" s="5">
        <v>33893</v>
      </c>
      <c r="B99" s="11">
        <f t="shared" si="4"/>
        <v>1992</v>
      </c>
      <c r="C99" s="11">
        <f t="shared" si="5"/>
        <v>10</v>
      </c>
      <c r="D99" s="11">
        <f t="shared" si="6"/>
        <v>4</v>
      </c>
      <c r="E99" s="11">
        <v>-0.54609039210389398</v>
      </c>
      <c r="F99" s="12">
        <v>30347</v>
      </c>
      <c r="G99" s="11">
        <f t="shared" si="7"/>
        <v>1.9954612844116408</v>
      </c>
      <c r="L99" s="6"/>
      <c r="R99" s="6"/>
    </row>
    <row r="100" spans="1:18" x14ac:dyDescent="0.3">
      <c r="A100" s="5">
        <v>33921</v>
      </c>
      <c r="B100" s="11">
        <f t="shared" si="4"/>
        <v>1992</v>
      </c>
      <c r="C100" s="11">
        <f t="shared" si="5"/>
        <v>11</v>
      </c>
      <c r="D100" s="11">
        <f t="shared" si="6"/>
        <v>4</v>
      </c>
      <c r="E100" s="11">
        <v>-0.5013938766400694</v>
      </c>
      <c r="F100" s="12">
        <v>30375</v>
      </c>
      <c r="G100" s="11">
        <f t="shared" si="7"/>
        <v>0</v>
      </c>
      <c r="L100" s="6"/>
      <c r="R100" s="6"/>
    </row>
    <row r="101" spans="1:18" x14ac:dyDescent="0.3">
      <c r="A101" s="5">
        <v>33995</v>
      </c>
      <c r="B101" s="11">
        <f t="shared" si="4"/>
        <v>1993</v>
      </c>
      <c r="C101" s="11">
        <f t="shared" si="5"/>
        <v>1</v>
      </c>
      <c r="D101" s="11">
        <f t="shared" si="6"/>
        <v>1</v>
      </c>
      <c r="E101" s="11">
        <v>-0.80556916122937827</v>
      </c>
      <c r="F101" s="12">
        <v>30406</v>
      </c>
      <c r="G101" s="11">
        <f t="shared" si="7"/>
        <v>0.2742376442326212</v>
      </c>
      <c r="L101" s="6"/>
      <c r="R101" s="6"/>
    </row>
    <row r="102" spans="1:18" x14ac:dyDescent="0.3">
      <c r="A102" s="5">
        <v>34296</v>
      </c>
      <c r="B102" s="11">
        <f t="shared" si="4"/>
        <v>1993</v>
      </c>
      <c r="C102" s="11">
        <f t="shared" si="5"/>
        <v>11</v>
      </c>
      <c r="D102" s="11">
        <f t="shared" si="6"/>
        <v>4</v>
      </c>
      <c r="E102" s="11">
        <v>-0.31813753025021613</v>
      </c>
      <c r="F102" s="12">
        <v>30436</v>
      </c>
      <c r="G102" s="11">
        <f t="shared" si="7"/>
        <v>-0.33437288951885252</v>
      </c>
      <c r="L102" s="6"/>
      <c r="R102" s="6"/>
    </row>
    <row r="103" spans="1:18" x14ac:dyDescent="0.3">
      <c r="A103" s="5">
        <v>34373</v>
      </c>
      <c r="B103" s="11">
        <f t="shared" si="4"/>
        <v>1994</v>
      </c>
      <c r="C103" s="11">
        <f t="shared" si="5"/>
        <v>2</v>
      </c>
      <c r="D103" s="11">
        <f t="shared" si="6"/>
        <v>1</v>
      </c>
      <c r="E103" s="11">
        <v>-8.0260576158870223E-2</v>
      </c>
      <c r="F103" s="12">
        <v>30467</v>
      </c>
      <c r="G103" s="11">
        <f t="shared" si="7"/>
        <v>0</v>
      </c>
      <c r="L103" s="6"/>
      <c r="R103" s="6"/>
    </row>
    <row r="104" spans="1:18" x14ac:dyDescent="0.3">
      <c r="A104" s="5">
        <v>34589</v>
      </c>
      <c r="B104" s="11">
        <f t="shared" si="4"/>
        <v>1994</v>
      </c>
      <c r="C104" s="11">
        <f t="shared" si="5"/>
        <v>9</v>
      </c>
      <c r="D104" s="11">
        <f t="shared" si="6"/>
        <v>3</v>
      </c>
      <c r="E104" s="11">
        <v>0.57564629329979988</v>
      </c>
      <c r="F104" s="12">
        <v>30497</v>
      </c>
      <c r="G104" s="11">
        <f t="shared" si="7"/>
        <v>-0.25118022830388537</v>
      </c>
      <c r="L104" s="6"/>
      <c r="R104" s="6"/>
    </row>
    <row r="105" spans="1:18" x14ac:dyDescent="0.3">
      <c r="A105" s="5">
        <v>34675</v>
      </c>
      <c r="B105" s="11">
        <f t="shared" si="4"/>
        <v>1994</v>
      </c>
      <c r="C105" s="11">
        <f t="shared" si="5"/>
        <v>12</v>
      </c>
      <c r="D105" s="11">
        <f t="shared" si="6"/>
        <v>4</v>
      </c>
      <c r="E105" s="11">
        <v>0.5757215317836879</v>
      </c>
      <c r="F105" s="12">
        <v>30528</v>
      </c>
      <c r="G105" s="11">
        <f t="shared" si="7"/>
        <v>0</v>
      </c>
      <c r="L105" s="6"/>
      <c r="R105" s="6"/>
    </row>
    <row r="106" spans="1:18" x14ac:dyDescent="0.3">
      <c r="A106" s="5">
        <v>34821</v>
      </c>
      <c r="B106" s="11">
        <f t="shared" si="4"/>
        <v>1995</v>
      </c>
      <c r="C106" s="11">
        <f t="shared" si="5"/>
        <v>5</v>
      </c>
      <c r="D106" s="11">
        <f t="shared" si="6"/>
        <v>2</v>
      </c>
      <c r="E106" s="11">
        <v>0.42178810036999959</v>
      </c>
      <c r="F106" s="12">
        <v>30559</v>
      </c>
      <c r="G106" s="11">
        <f t="shared" si="7"/>
        <v>0.63783162965417906</v>
      </c>
      <c r="L106" s="6"/>
      <c r="R106" s="6"/>
    </row>
    <row r="107" spans="1:18" x14ac:dyDescent="0.3">
      <c r="A107" s="5">
        <v>35046</v>
      </c>
      <c r="B107" s="11">
        <f t="shared" si="4"/>
        <v>1995</v>
      </c>
      <c r="C107" s="11">
        <f t="shared" si="5"/>
        <v>12</v>
      </c>
      <c r="D107" s="11">
        <f t="shared" si="6"/>
        <v>4</v>
      </c>
      <c r="E107" s="11">
        <v>-0.44958487963812499</v>
      </c>
      <c r="F107" s="12">
        <v>30589</v>
      </c>
      <c r="G107" s="11">
        <f t="shared" si="7"/>
        <v>0</v>
      </c>
      <c r="L107" s="6"/>
      <c r="R107" s="6"/>
    </row>
    <row r="108" spans="1:18" x14ac:dyDescent="0.3">
      <c r="A108" s="5">
        <v>35082</v>
      </c>
      <c r="B108" s="11">
        <f t="shared" si="4"/>
        <v>1996</v>
      </c>
      <c r="C108" s="11">
        <f t="shared" si="5"/>
        <v>1</v>
      </c>
      <c r="D108" s="11">
        <f t="shared" si="6"/>
        <v>1</v>
      </c>
      <c r="E108" s="11">
        <v>-0.27669513050595312</v>
      </c>
      <c r="F108" s="12">
        <v>30620</v>
      </c>
      <c r="G108" s="11">
        <f t="shared" si="7"/>
        <v>-0.31261081122214296</v>
      </c>
      <c r="L108" s="6"/>
      <c r="R108" s="6"/>
    </row>
    <row r="109" spans="1:18" x14ac:dyDescent="0.3">
      <c r="A109" s="5">
        <v>35132</v>
      </c>
      <c r="B109" s="11">
        <f t="shared" si="4"/>
        <v>1996</v>
      </c>
      <c r="C109" s="11">
        <f t="shared" si="5"/>
        <v>3</v>
      </c>
      <c r="D109" s="11">
        <f t="shared" si="6"/>
        <v>1</v>
      </c>
      <c r="E109" s="11">
        <v>-0.2375258354820193</v>
      </c>
      <c r="F109" s="12">
        <v>30650</v>
      </c>
      <c r="G109" s="11">
        <f t="shared" si="7"/>
        <v>0</v>
      </c>
      <c r="L109" s="6"/>
      <c r="R109" s="6"/>
    </row>
    <row r="110" spans="1:18" x14ac:dyDescent="0.3">
      <c r="A110" s="5">
        <v>35222</v>
      </c>
      <c r="B110" s="11">
        <f t="shared" si="4"/>
        <v>1996</v>
      </c>
      <c r="C110" s="11">
        <f t="shared" si="5"/>
        <v>6</v>
      </c>
      <c r="D110" s="11">
        <f t="shared" si="6"/>
        <v>2</v>
      </c>
      <c r="E110" s="11">
        <v>-0.10249035413378654</v>
      </c>
      <c r="F110" s="12">
        <v>30681</v>
      </c>
      <c r="G110" s="11">
        <f t="shared" si="7"/>
        <v>0</v>
      </c>
      <c r="L110" s="6"/>
      <c r="R110" s="6"/>
    </row>
    <row r="111" spans="1:18" x14ac:dyDescent="0.3">
      <c r="A111" s="5">
        <v>35368</v>
      </c>
      <c r="B111" s="11">
        <f t="shared" si="4"/>
        <v>1996</v>
      </c>
      <c r="C111" s="11">
        <f t="shared" si="5"/>
        <v>10</v>
      </c>
      <c r="D111" s="11">
        <f t="shared" si="6"/>
        <v>4</v>
      </c>
      <c r="E111" s="11">
        <v>0.107361549397165</v>
      </c>
      <c r="F111" s="12">
        <v>30712</v>
      </c>
      <c r="G111" s="11">
        <f t="shared" si="7"/>
        <v>0</v>
      </c>
      <c r="L111" s="6"/>
      <c r="R111" s="6"/>
    </row>
    <row r="112" spans="1:18" x14ac:dyDescent="0.3">
      <c r="A112" s="5">
        <v>35556</v>
      </c>
      <c r="B112" s="11">
        <f t="shared" si="4"/>
        <v>1997</v>
      </c>
      <c r="C112" s="11">
        <f t="shared" si="5"/>
        <v>5</v>
      </c>
      <c r="D112" s="11">
        <f t="shared" si="6"/>
        <v>2</v>
      </c>
      <c r="E112" s="11">
        <v>0.31957188869320341</v>
      </c>
      <c r="F112" s="12">
        <v>30741</v>
      </c>
      <c r="G112" s="11">
        <f t="shared" si="7"/>
        <v>0</v>
      </c>
      <c r="L112" s="6"/>
      <c r="R112" s="6"/>
    </row>
    <row r="113" spans="1:18" x14ac:dyDescent="0.3">
      <c r="A113" s="5">
        <v>35587</v>
      </c>
      <c r="B113" s="11">
        <f t="shared" si="4"/>
        <v>1997</v>
      </c>
      <c r="C113" s="11">
        <f t="shared" si="5"/>
        <v>6</v>
      </c>
      <c r="D113" s="11">
        <f t="shared" si="6"/>
        <v>2</v>
      </c>
      <c r="E113" s="11">
        <v>0.32360732897114475</v>
      </c>
      <c r="F113" s="12">
        <v>30772</v>
      </c>
      <c r="G113" s="11">
        <f t="shared" si="7"/>
        <v>-0.10669742697507284</v>
      </c>
      <c r="L113" s="6"/>
      <c r="R113" s="6"/>
    </row>
    <row r="114" spans="1:18" x14ac:dyDescent="0.3">
      <c r="A114" s="5">
        <v>35621</v>
      </c>
      <c r="B114" s="11">
        <f t="shared" si="4"/>
        <v>1997</v>
      </c>
      <c r="C114" s="11">
        <f t="shared" si="5"/>
        <v>7</v>
      </c>
      <c r="D114" s="11">
        <f t="shared" si="6"/>
        <v>3</v>
      </c>
      <c r="E114" s="11">
        <v>0.53215586753982014</v>
      </c>
      <c r="F114" s="12">
        <v>30802</v>
      </c>
      <c r="G114" s="11">
        <f t="shared" si="7"/>
        <v>0</v>
      </c>
      <c r="L114" s="6"/>
      <c r="R114" s="6"/>
    </row>
    <row r="115" spans="1:18" x14ac:dyDescent="0.3">
      <c r="A115" s="5">
        <v>35649</v>
      </c>
      <c r="B115" s="11">
        <f t="shared" si="4"/>
        <v>1997</v>
      </c>
      <c r="C115" s="11">
        <f t="shared" si="5"/>
        <v>8</v>
      </c>
      <c r="D115" s="11">
        <f t="shared" si="6"/>
        <v>3</v>
      </c>
      <c r="E115" s="11">
        <v>0.26790763278024277</v>
      </c>
      <c r="F115" s="12">
        <v>30833</v>
      </c>
      <c r="G115" s="11">
        <f t="shared" si="7"/>
        <v>0.69079483800030528</v>
      </c>
      <c r="L115" s="6"/>
      <c r="R115" s="6"/>
    </row>
    <row r="116" spans="1:18" x14ac:dyDescent="0.3">
      <c r="A116" s="5">
        <v>35684</v>
      </c>
      <c r="B116" s="11">
        <f t="shared" si="4"/>
        <v>1997</v>
      </c>
      <c r="C116" s="11">
        <f t="shared" si="5"/>
        <v>9</v>
      </c>
      <c r="D116" s="11">
        <f t="shared" si="6"/>
        <v>3</v>
      </c>
      <c r="E116" s="11">
        <v>-0.28477852833325989</v>
      </c>
      <c r="F116" s="12">
        <v>30863</v>
      </c>
      <c r="G116" s="11">
        <f t="shared" si="7"/>
        <v>0.52986307773007024</v>
      </c>
      <c r="L116" s="6"/>
      <c r="R116" s="6"/>
    </row>
    <row r="117" spans="1:18" x14ac:dyDescent="0.3">
      <c r="A117" s="5">
        <v>35712</v>
      </c>
      <c r="B117" s="11">
        <f t="shared" si="4"/>
        <v>1997</v>
      </c>
      <c r="C117" s="11">
        <f t="shared" si="5"/>
        <v>10</v>
      </c>
      <c r="D117" s="11">
        <f t="shared" si="6"/>
        <v>4</v>
      </c>
      <c r="E117" s="11">
        <v>-7.3918910771759189E-2</v>
      </c>
      <c r="F117" s="12">
        <v>30894</v>
      </c>
      <c r="G117" s="11">
        <f t="shared" si="7"/>
        <v>0</v>
      </c>
      <c r="L117" s="6"/>
      <c r="R117" s="6"/>
    </row>
    <row r="118" spans="1:18" x14ac:dyDescent="0.3">
      <c r="A118" s="5">
        <v>35740</v>
      </c>
      <c r="B118" s="11">
        <f t="shared" si="4"/>
        <v>1997</v>
      </c>
      <c r="C118" s="11">
        <f t="shared" si="5"/>
        <v>11</v>
      </c>
      <c r="D118" s="11">
        <f t="shared" si="6"/>
        <v>4</v>
      </c>
      <c r="E118" s="11">
        <v>-0.2634673672742458</v>
      </c>
      <c r="F118" s="12">
        <v>30925</v>
      </c>
      <c r="G118" s="11">
        <f t="shared" si="7"/>
        <v>-1.6665726842851309</v>
      </c>
      <c r="L118" s="6"/>
      <c r="R118" s="6"/>
    </row>
    <row r="119" spans="1:18" x14ac:dyDescent="0.3">
      <c r="A119" s="5">
        <v>35768</v>
      </c>
      <c r="B119" s="11">
        <f t="shared" si="4"/>
        <v>1997</v>
      </c>
      <c r="C119" s="11">
        <f t="shared" si="5"/>
        <v>12</v>
      </c>
      <c r="D119" s="11">
        <f t="shared" si="6"/>
        <v>4</v>
      </c>
      <c r="E119" s="11">
        <v>-0.5181008346448347</v>
      </c>
      <c r="F119" s="12">
        <v>30955</v>
      </c>
      <c r="G119" s="11">
        <f t="shared" si="7"/>
        <v>0</v>
      </c>
      <c r="L119" s="6"/>
      <c r="R119" s="6"/>
    </row>
    <row r="120" spans="1:18" x14ac:dyDescent="0.3">
      <c r="A120" s="5">
        <v>35803</v>
      </c>
      <c r="B120" s="11">
        <f t="shared" si="4"/>
        <v>1998</v>
      </c>
      <c r="C120" s="11">
        <f t="shared" si="5"/>
        <v>1</v>
      </c>
      <c r="D120" s="11">
        <f t="shared" si="6"/>
        <v>1</v>
      </c>
      <c r="E120" s="11">
        <v>-9.5195499822699842E-2</v>
      </c>
      <c r="F120" s="12">
        <v>30986</v>
      </c>
      <c r="G120" s="11">
        <f t="shared" si="7"/>
        <v>0</v>
      </c>
      <c r="L120" s="6"/>
      <c r="R120" s="6"/>
    </row>
    <row r="121" spans="1:18" x14ac:dyDescent="0.3">
      <c r="A121" s="5">
        <v>35831</v>
      </c>
      <c r="B121" s="11">
        <f t="shared" si="4"/>
        <v>1998</v>
      </c>
      <c r="C121" s="11">
        <f t="shared" si="5"/>
        <v>2</v>
      </c>
      <c r="D121" s="11">
        <f t="shared" si="6"/>
        <v>1</v>
      </c>
      <c r="E121" s="11">
        <v>8.5685213054761511E-2</v>
      </c>
      <c r="F121" s="12">
        <v>31016</v>
      </c>
      <c r="G121" s="11">
        <f t="shared" si="7"/>
        <v>-1.3346418846923513</v>
      </c>
      <c r="L121" s="6"/>
      <c r="R121" s="6"/>
    </row>
    <row r="122" spans="1:18" x14ac:dyDescent="0.3">
      <c r="A122" s="5">
        <v>35859</v>
      </c>
      <c r="B122" s="11">
        <f t="shared" si="4"/>
        <v>1998</v>
      </c>
      <c r="C122" s="11">
        <f t="shared" si="5"/>
        <v>3</v>
      </c>
      <c r="D122" s="11">
        <f t="shared" si="6"/>
        <v>1</v>
      </c>
      <c r="E122" s="11">
        <v>0.15156058535085173</v>
      </c>
      <c r="F122" s="12">
        <v>31047</v>
      </c>
      <c r="G122" s="11">
        <f t="shared" si="7"/>
        <v>0</v>
      </c>
      <c r="L122" s="6"/>
      <c r="R122" s="6"/>
    </row>
    <row r="123" spans="1:18" x14ac:dyDescent="0.3">
      <c r="A123" s="5">
        <v>35894</v>
      </c>
      <c r="B123" s="11">
        <f t="shared" si="4"/>
        <v>1998</v>
      </c>
      <c r="C123" s="11">
        <f t="shared" si="5"/>
        <v>4</v>
      </c>
      <c r="D123" s="11">
        <f t="shared" si="6"/>
        <v>2</v>
      </c>
      <c r="E123" s="11">
        <v>9.5635163477219481E-2</v>
      </c>
      <c r="F123" s="12">
        <v>31078</v>
      </c>
      <c r="G123" s="11">
        <f t="shared" si="7"/>
        <v>2.3549624818338195</v>
      </c>
      <c r="L123" s="6"/>
      <c r="R123" s="6"/>
    </row>
    <row r="124" spans="1:18" x14ac:dyDescent="0.3">
      <c r="A124" s="5">
        <v>35922</v>
      </c>
      <c r="B124" s="11">
        <f t="shared" si="4"/>
        <v>1998</v>
      </c>
      <c r="C124" s="11">
        <f t="shared" si="5"/>
        <v>5</v>
      </c>
      <c r="D124" s="11">
        <f t="shared" si="6"/>
        <v>2</v>
      </c>
      <c r="E124" s="11">
        <v>0.14091571006352724</v>
      </c>
      <c r="F124" s="12">
        <v>31106</v>
      </c>
      <c r="G124" s="11">
        <f t="shared" si="7"/>
        <v>0</v>
      </c>
      <c r="L124" s="6"/>
      <c r="R124" s="6"/>
    </row>
    <row r="125" spans="1:18" x14ac:dyDescent="0.3">
      <c r="A125" s="5">
        <v>35950</v>
      </c>
      <c r="B125" s="11">
        <f t="shared" si="4"/>
        <v>1998</v>
      </c>
      <c r="C125" s="11">
        <f t="shared" si="5"/>
        <v>6</v>
      </c>
      <c r="D125" s="11">
        <f t="shared" si="6"/>
        <v>2</v>
      </c>
      <c r="E125" s="11">
        <v>0.45679108235961807</v>
      </c>
      <c r="F125" s="12">
        <v>31137</v>
      </c>
      <c r="G125" s="11">
        <f t="shared" si="7"/>
        <v>-0.59972608740355948</v>
      </c>
      <c r="L125" s="6"/>
      <c r="R125" s="6"/>
    </row>
    <row r="126" spans="1:18" x14ac:dyDescent="0.3">
      <c r="A126" s="5">
        <v>35985</v>
      </c>
      <c r="B126" s="11">
        <f t="shared" si="4"/>
        <v>1998</v>
      </c>
      <c r="C126" s="11">
        <f t="shared" si="5"/>
        <v>7</v>
      </c>
      <c r="D126" s="11">
        <f t="shared" si="6"/>
        <v>3</v>
      </c>
      <c r="E126" s="11">
        <v>0.14590278511546048</v>
      </c>
      <c r="F126" s="12">
        <v>31167</v>
      </c>
      <c r="G126" s="11">
        <f t="shared" si="7"/>
        <v>0.23531134849559454</v>
      </c>
      <c r="L126" s="6"/>
      <c r="R126" s="6"/>
    </row>
    <row r="127" spans="1:18" x14ac:dyDescent="0.3">
      <c r="A127" s="5">
        <v>36013</v>
      </c>
      <c r="B127" s="11">
        <f t="shared" si="4"/>
        <v>1998</v>
      </c>
      <c r="C127" s="11">
        <f t="shared" si="5"/>
        <v>8</v>
      </c>
      <c r="D127" s="11">
        <f t="shared" si="6"/>
        <v>3</v>
      </c>
      <c r="E127" s="11">
        <v>0.29884692092603904</v>
      </c>
      <c r="F127" s="12">
        <v>31198</v>
      </c>
      <c r="G127" s="11">
        <f t="shared" si="7"/>
        <v>0</v>
      </c>
      <c r="L127" s="6"/>
      <c r="R127" s="6"/>
    </row>
    <row r="128" spans="1:18" x14ac:dyDescent="0.3">
      <c r="A128" s="5">
        <v>36048</v>
      </c>
      <c r="B128" s="11">
        <f t="shared" si="4"/>
        <v>1998</v>
      </c>
      <c r="C128" s="11">
        <f t="shared" si="5"/>
        <v>9</v>
      </c>
      <c r="D128" s="11">
        <f t="shared" si="6"/>
        <v>3</v>
      </c>
      <c r="E128" s="11">
        <v>0.20358186582746671</v>
      </c>
      <c r="F128" s="12">
        <v>31228</v>
      </c>
      <c r="G128" s="11">
        <f t="shared" si="7"/>
        <v>0</v>
      </c>
      <c r="L128" s="6"/>
      <c r="R128" s="6"/>
    </row>
    <row r="129" spans="1:18" x14ac:dyDescent="0.3">
      <c r="A129" s="5">
        <v>36076</v>
      </c>
      <c r="B129" s="11">
        <f t="shared" si="4"/>
        <v>1998</v>
      </c>
      <c r="C129" s="11">
        <f t="shared" si="5"/>
        <v>10</v>
      </c>
      <c r="D129" s="11">
        <f t="shared" si="6"/>
        <v>4</v>
      </c>
      <c r="E129" s="11">
        <v>-5.8310173282757255E-2</v>
      </c>
      <c r="F129" s="12">
        <v>31259</v>
      </c>
      <c r="G129" s="11">
        <f t="shared" si="7"/>
        <v>-0.54542517452778894</v>
      </c>
      <c r="L129" s="6"/>
      <c r="R129" s="6"/>
    </row>
    <row r="130" spans="1:18" x14ac:dyDescent="0.3">
      <c r="A130" s="5">
        <v>36104</v>
      </c>
      <c r="B130" s="11">
        <f t="shared" si="4"/>
        <v>1998</v>
      </c>
      <c r="C130" s="11">
        <f t="shared" si="5"/>
        <v>11</v>
      </c>
      <c r="D130" s="11">
        <f t="shared" si="6"/>
        <v>4</v>
      </c>
      <c r="E130" s="11">
        <v>-0.2166080854729997</v>
      </c>
      <c r="F130" s="12">
        <v>31290</v>
      </c>
      <c r="G130" s="11">
        <f t="shared" si="7"/>
        <v>0</v>
      </c>
      <c r="L130" s="6"/>
      <c r="R130" s="6"/>
    </row>
    <row r="131" spans="1:18" x14ac:dyDescent="0.3">
      <c r="A131" s="5">
        <v>36139</v>
      </c>
      <c r="B131" s="11">
        <f t="shared" ref="B131:B194" si="8">YEAR(A131)</f>
        <v>1998</v>
      </c>
      <c r="C131" s="11">
        <f t="shared" ref="C131:C194" si="9">MONTH(A131)</f>
        <v>12</v>
      </c>
      <c r="D131" s="11">
        <f t="shared" ref="D131:D194" si="10">ROUNDUP(MONTH(A131)/3,0)</f>
        <v>4</v>
      </c>
      <c r="E131" s="11">
        <v>-0.31292924934253419</v>
      </c>
      <c r="F131" s="12">
        <v>31320</v>
      </c>
      <c r="G131" s="11">
        <f t="shared" ref="G131:G194" si="11">SUMIFS($E$3:$E$279,$B$3:$B$279,YEAR(F131),$C$3:$C$279,MONTH(F131))</f>
        <v>0</v>
      </c>
      <c r="L131" s="6"/>
      <c r="R131" s="6"/>
    </row>
    <row r="132" spans="1:18" x14ac:dyDescent="0.3">
      <c r="A132" s="5">
        <v>36167</v>
      </c>
      <c r="B132" s="11">
        <f t="shared" si="8"/>
        <v>1999</v>
      </c>
      <c r="C132" s="11">
        <f t="shared" si="9"/>
        <v>1</v>
      </c>
      <c r="D132" s="11">
        <f t="shared" si="10"/>
        <v>1</v>
      </c>
      <c r="E132" s="11">
        <v>0.18451244432719482</v>
      </c>
      <c r="F132" s="12">
        <v>31351</v>
      </c>
      <c r="G132" s="11">
        <f t="shared" si="11"/>
        <v>0</v>
      </c>
      <c r="L132" s="6"/>
      <c r="R132" s="6"/>
    </row>
    <row r="133" spans="1:18" x14ac:dyDescent="0.3">
      <c r="A133" s="5">
        <v>36195</v>
      </c>
      <c r="B133" s="11">
        <f t="shared" si="8"/>
        <v>1999</v>
      </c>
      <c r="C133" s="11">
        <f t="shared" si="9"/>
        <v>2</v>
      </c>
      <c r="D133" s="11">
        <f t="shared" si="10"/>
        <v>1</v>
      </c>
      <c r="E133" s="11">
        <v>-3.6846888573743797E-2</v>
      </c>
      <c r="F133" s="12">
        <v>31381</v>
      </c>
      <c r="G133" s="11">
        <f t="shared" si="11"/>
        <v>0</v>
      </c>
      <c r="L133" s="6"/>
      <c r="R133" s="6"/>
    </row>
    <row r="134" spans="1:18" x14ac:dyDescent="0.3">
      <c r="A134" s="5">
        <v>36222</v>
      </c>
      <c r="B134" s="11">
        <f t="shared" si="8"/>
        <v>1999</v>
      </c>
      <c r="C134" s="11">
        <f t="shared" si="9"/>
        <v>3</v>
      </c>
      <c r="D134" s="11">
        <f t="shared" si="10"/>
        <v>1</v>
      </c>
      <c r="E134" s="11">
        <v>0.3962216303592041</v>
      </c>
      <c r="F134" s="12">
        <v>31412</v>
      </c>
      <c r="G134" s="11">
        <f t="shared" si="11"/>
        <v>0</v>
      </c>
      <c r="L134" s="6"/>
      <c r="R134" s="6"/>
    </row>
    <row r="135" spans="1:18" x14ac:dyDescent="0.3">
      <c r="A135" s="5">
        <v>36258</v>
      </c>
      <c r="B135" s="11">
        <f t="shared" si="8"/>
        <v>1999</v>
      </c>
      <c r="C135" s="11">
        <f t="shared" si="9"/>
        <v>4</v>
      </c>
      <c r="D135" s="11">
        <f t="shared" si="10"/>
        <v>2</v>
      </c>
      <c r="E135" s="11">
        <v>0.14591142358856457</v>
      </c>
      <c r="F135" s="12">
        <v>31443</v>
      </c>
      <c r="G135" s="11">
        <f t="shared" si="11"/>
        <v>1.1237021497356836</v>
      </c>
      <c r="L135" s="6"/>
      <c r="R135" s="6"/>
    </row>
    <row r="136" spans="1:18" x14ac:dyDescent="0.3">
      <c r="A136" s="5">
        <v>36286</v>
      </c>
      <c r="B136" s="11">
        <f t="shared" si="8"/>
        <v>1999</v>
      </c>
      <c r="C136" s="11">
        <f t="shared" si="9"/>
        <v>5</v>
      </c>
      <c r="D136" s="11">
        <f t="shared" si="10"/>
        <v>2</v>
      </c>
      <c r="E136" s="11">
        <v>0.20939040050746496</v>
      </c>
      <c r="F136" s="12">
        <v>31471</v>
      </c>
      <c r="G136" s="11">
        <f t="shared" si="11"/>
        <v>0</v>
      </c>
      <c r="L136" s="6"/>
      <c r="R136" s="6"/>
    </row>
    <row r="137" spans="1:18" x14ac:dyDescent="0.3">
      <c r="A137" s="5">
        <v>36321</v>
      </c>
      <c r="B137" s="11">
        <f t="shared" si="8"/>
        <v>1999</v>
      </c>
      <c r="C137" s="11">
        <f t="shared" si="9"/>
        <v>6</v>
      </c>
      <c r="D137" s="11">
        <f t="shared" si="10"/>
        <v>2</v>
      </c>
      <c r="E137" s="11">
        <v>-0.11164649354469477</v>
      </c>
      <c r="F137" s="12">
        <v>31502</v>
      </c>
      <c r="G137" s="11">
        <f t="shared" si="11"/>
        <v>-0.79407239338735058</v>
      </c>
      <c r="L137" s="6"/>
      <c r="R137" s="6"/>
    </row>
    <row r="138" spans="1:18" x14ac:dyDescent="0.3">
      <c r="A138" s="5">
        <v>36349</v>
      </c>
      <c r="B138" s="11">
        <f t="shared" si="8"/>
        <v>1999</v>
      </c>
      <c r="C138" s="11">
        <f t="shared" si="9"/>
        <v>7</v>
      </c>
      <c r="D138" s="11">
        <f t="shared" si="10"/>
        <v>3</v>
      </c>
      <c r="E138" s="11">
        <v>0.30204894204288407</v>
      </c>
      <c r="F138" s="12">
        <v>31532</v>
      </c>
      <c r="G138" s="11">
        <f t="shared" si="11"/>
        <v>-0.43555587674391338</v>
      </c>
      <c r="L138" s="6"/>
      <c r="R138" s="6"/>
    </row>
    <row r="139" spans="1:18" x14ac:dyDescent="0.3">
      <c r="A139" s="5">
        <v>36377</v>
      </c>
      <c r="B139" s="11">
        <f t="shared" si="8"/>
        <v>1999</v>
      </c>
      <c r="C139" s="11">
        <f t="shared" si="9"/>
        <v>8</v>
      </c>
      <c r="D139" s="11">
        <f t="shared" si="10"/>
        <v>3</v>
      </c>
      <c r="E139" s="11">
        <v>-0.29994929827459238</v>
      </c>
      <c r="F139" s="12">
        <v>31563</v>
      </c>
      <c r="G139" s="11">
        <f t="shared" si="11"/>
        <v>-0.34867713611760426</v>
      </c>
      <c r="L139" s="6"/>
      <c r="R139" s="6"/>
    </row>
    <row r="140" spans="1:18" x14ac:dyDescent="0.3">
      <c r="A140" s="5">
        <v>36411</v>
      </c>
      <c r="B140" s="11">
        <f t="shared" si="8"/>
        <v>1999</v>
      </c>
      <c r="C140" s="11">
        <f t="shared" si="9"/>
        <v>9</v>
      </c>
      <c r="D140" s="11">
        <f t="shared" si="10"/>
        <v>3</v>
      </c>
      <c r="E140" s="11">
        <v>-2.5721137228180702E-2</v>
      </c>
      <c r="F140" s="12">
        <v>31593</v>
      </c>
      <c r="G140" s="11">
        <f t="shared" si="11"/>
        <v>0</v>
      </c>
      <c r="L140" s="6"/>
      <c r="R140" s="6"/>
    </row>
    <row r="141" spans="1:18" x14ac:dyDescent="0.3">
      <c r="A141" s="5">
        <v>36440</v>
      </c>
      <c r="B141" s="11">
        <f t="shared" si="8"/>
        <v>1999</v>
      </c>
      <c r="C141" s="11">
        <f t="shared" si="9"/>
        <v>10</v>
      </c>
      <c r="D141" s="11">
        <f t="shared" si="10"/>
        <v>4</v>
      </c>
      <c r="E141" s="11">
        <v>-0.17307707715314344</v>
      </c>
      <c r="F141" s="12">
        <v>31624</v>
      </c>
      <c r="G141" s="11">
        <f t="shared" si="11"/>
        <v>0</v>
      </c>
      <c r="L141" s="6"/>
      <c r="R141" s="6"/>
    </row>
    <row r="142" spans="1:18" x14ac:dyDescent="0.3">
      <c r="A142" s="5">
        <v>36468</v>
      </c>
      <c r="B142" s="11">
        <f t="shared" si="8"/>
        <v>1999</v>
      </c>
      <c r="C142" s="11">
        <f t="shared" si="9"/>
        <v>11</v>
      </c>
      <c r="D142" s="11">
        <f t="shared" si="10"/>
        <v>4</v>
      </c>
      <c r="E142" s="11">
        <v>0.18393465863984262</v>
      </c>
      <c r="F142" s="12">
        <v>31655</v>
      </c>
      <c r="G142" s="11">
        <f t="shared" si="11"/>
        <v>0</v>
      </c>
      <c r="L142" s="6"/>
      <c r="R142" s="6"/>
    </row>
    <row r="143" spans="1:18" x14ac:dyDescent="0.3">
      <c r="A143" s="5">
        <v>36503</v>
      </c>
      <c r="B143" s="11">
        <f t="shared" si="8"/>
        <v>1999</v>
      </c>
      <c r="C143" s="11">
        <f t="shared" si="9"/>
        <v>12</v>
      </c>
      <c r="D143" s="11">
        <f t="shared" si="10"/>
        <v>4</v>
      </c>
      <c r="E143" s="11">
        <v>3.380853214145334E-4</v>
      </c>
      <c r="F143" s="12">
        <v>31685</v>
      </c>
      <c r="G143" s="11">
        <f t="shared" si="11"/>
        <v>0</v>
      </c>
      <c r="L143" s="6"/>
      <c r="R143" s="6"/>
    </row>
    <row r="144" spans="1:18" x14ac:dyDescent="0.3">
      <c r="A144" s="5">
        <v>36538</v>
      </c>
      <c r="B144" s="11">
        <f t="shared" si="8"/>
        <v>2000</v>
      </c>
      <c r="C144" s="11">
        <f t="shared" si="9"/>
        <v>1</v>
      </c>
      <c r="D144" s="11">
        <f t="shared" si="10"/>
        <v>1</v>
      </c>
      <c r="E144" s="11">
        <v>0.45187648342481568</v>
      </c>
      <c r="F144" s="12">
        <v>31716</v>
      </c>
      <c r="G144" s="11">
        <f t="shared" si="11"/>
        <v>1.0421916526285264</v>
      </c>
      <c r="L144" s="6"/>
      <c r="R144" s="6"/>
    </row>
    <row r="145" spans="1:18" x14ac:dyDescent="0.3">
      <c r="A145" s="5">
        <v>36566</v>
      </c>
      <c r="B145" s="11">
        <f t="shared" si="8"/>
        <v>2000</v>
      </c>
      <c r="C145" s="11">
        <f t="shared" si="9"/>
        <v>2</v>
      </c>
      <c r="D145" s="11">
        <f t="shared" si="10"/>
        <v>1</v>
      </c>
      <c r="E145" s="11">
        <v>0.34623280149337443</v>
      </c>
      <c r="F145" s="12">
        <v>31746</v>
      </c>
      <c r="G145" s="11">
        <f t="shared" si="11"/>
        <v>0</v>
      </c>
      <c r="L145" s="6"/>
      <c r="R145" s="6"/>
    </row>
    <row r="146" spans="1:18" x14ac:dyDescent="0.3">
      <c r="A146" s="5">
        <v>36594</v>
      </c>
      <c r="B146" s="11">
        <f t="shared" si="8"/>
        <v>2000</v>
      </c>
      <c r="C146" s="11">
        <f t="shared" si="9"/>
        <v>3</v>
      </c>
      <c r="D146" s="11">
        <f t="shared" si="10"/>
        <v>1</v>
      </c>
      <c r="E146" s="11">
        <v>5.5113644629176818E-2</v>
      </c>
      <c r="F146" s="12">
        <v>31777</v>
      </c>
      <c r="G146" s="11">
        <f t="shared" si="11"/>
        <v>0</v>
      </c>
      <c r="L146" s="6"/>
      <c r="R146" s="6"/>
    </row>
    <row r="147" spans="1:18" x14ac:dyDescent="0.3">
      <c r="A147" s="5">
        <v>36622</v>
      </c>
      <c r="B147" s="11">
        <f t="shared" si="8"/>
        <v>2000</v>
      </c>
      <c r="C147" s="11">
        <f t="shared" si="9"/>
        <v>4</v>
      </c>
      <c r="D147" s="11">
        <f t="shared" si="10"/>
        <v>2</v>
      </c>
      <c r="E147" s="11">
        <v>5.8379181219993623E-2</v>
      </c>
      <c r="F147" s="12">
        <v>31808</v>
      </c>
      <c r="G147" s="11">
        <f t="shared" si="11"/>
        <v>0</v>
      </c>
      <c r="L147" s="6"/>
      <c r="R147" s="6"/>
    </row>
    <row r="148" spans="1:18" x14ac:dyDescent="0.3">
      <c r="A148" s="5">
        <v>36650</v>
      </c>
      <c r="B148" s="11">
        <f t="shared" si="8"/>
        <v>2000</v>
      </c>
      <c r="C148" s="11">
        <f t="shared" si="9"/>
        <v>5</v>
      </c>
      <c r="D148" s="11">
        <f t="shared" si="10"/>
        <v>2</v>
      </c>
      <c r="E148" s="11">
        <v>-0.19606865800192533</v>
      </c>
      <c r="F148" s="12">
        <v>31836</v>
      </c>
      <c r="G148" s="11">
        <f t="shared" si="11"/>
        <v>0</v>
      </c>
      <c r="L148" s="6"/>
      <c r="R148" s="6"/>
    </row>
    <row r="149" spans="1:18" x14ac:dyDescent="0.3">
      <c r="A149" s="5">
        <v>36684</v>
      </c>
      <c r="B149" s="11">
        <f t="shared" si="8"/>
        <v>2000</v>
      </c>
      <c r="C149" s="11">
        <f t="shared" si="9"/>
        <v>6</v>
      </c>
      <c r="D149" s="11">
        <f t="shared" si="10"/>
        <v>2</v>
      </c>
      <c r="E149" s="11">
        <v>-0.20123017975799526</v>
      </c>
      <c r="F149" s="12">
        <v>31867</v>
      </c>
      <c r="G149" s="11">
        <f t="shared" si="11"/>
        <v>-0.58062639322435594</v>
      </c>
      <c r="L149" s="6"/>
      <c r="R149" s="6"/>
    </row>
    <row r="150" spans="1:18" x14ac:dyDescent="0.3">
      <c r="A150" s="5">
        <v>36713</v>
      </c>
      <c r="B150" s="11">
        <f t="shared" si="8"/>
        <v>2000</v>
      </c>
      <c r="C150" s="11">
        <f t="shared" si="9"/>
        <v>7</v>
      </c>
      <c r="D150" s="11">
        <f t="shared" si="10"/>
        <v>3</v>
      </c>
      <c r="E150" s="11">
        <v>-0.29492212987835092</v>
      </c>
      <c r="F150" s="12">
        <v>31897</v>
      </c>
      <c r="G150" s="11">
        <f t="shared" si="11"/>
        <v>0</v>
      </c>
      <c r="L150" s="6"/>
      <c r="R150" s="6"/>
    </row>
    <row r="151" spans="1:18" x14ac:dyDescent="0.3">
      <c r="A151" s="5">
        <v>36741</v>
      </c>
      <c r="B151" s="11">
        <f t="shared" si="8"/>
        <v>2000</v>
      </c>
      <c r="C151" s="11">
        <f t="shared" si="9"/>
        <v>8</v>
      </c>
      <c r="D151" s="11">
        <f t="shared" si="10"/>
        <v>3</v>
      </c>
      <c r="E151" s="11">
        <v>-0.17153571784230814</v>
      </c>
      <c r="F151" s="12">
        <v>31928</v>
      </c>
      <c r="G151" s="11">
        <f t="shared" si="11"/>
        <v>-0.74447768432719208</v>
      </c>
      <c r="L151" s="6"/>
      <c r="R151" s="6"/>
    </row>
    <row r="152" spans="1:18" x14ac:dyDescent="0.3">
      <c r="A152" s="5">
        <v>36776</v>
      </c>
      <c r="B152" s="11">
        <f t="shared" si="8"/>
        <v>2000</v>
      </c>
      <c r="C152" s="11">
        <f t="shared" si="9"/>
        <v>9</v>
      </c>
      <c r="D152" s="11">
        <f t="shared" si="10"/>
        <v>3</v>
      </c>
      <c r="E152" s="11">
        <v>-3.9784973250127101E-2</v>
      </c>
      <c r="F152" s="12">
        <v>31958</v>
      </c>
      <c r="G152" s="11">
        <f t="shared" si="11"/>
        <v>0</v>
      </c>
      <c r="L152" s="6"/>
      <c r="R152" s="6"/>
    </row>
    <row r="153" spans="1:18" x14ac:dyDescent="0.3">
      <c r="A153" s="5">
        <v>36804</v>
      </c>
      <c r="B153" s="11">
        <f t="shared" si="8"/>
        <v>2000</v>
      </c>
      <c r="C153" s="11">
        <f t="shared" si="9"/>
        <v>10</v>
      </c>
      <c r="D153" s="11">
        <f t="shared" si="10"/>
        <v>4</v>
      </c>
      <c r="E153" s="11">
        <v>3.4502820620123317E-2</v>
      </c>
      <c r="F153" s="12">
        <v>31989</v>
      </c>
      <c r="G153" s="11">
        <f t="shared" si="11"/>
        <v>0</v>
      </c>
      <c r="L153" s="6"/>
      <c r="R153" s="6"/>
    </row>
    <row r="154" spans="1:18" x14ac:dyDescent="0.3">
      <c r="A154" s="5">
        <v>36839</v>
      </c>
      <c r="B154" s="11">
        <f t="shared" si="8"/>
        <v>2000</v>
      </c>
      <c r="C154" s="11">
        <f t="shared" si="9"/>
        <v>11</v>
      </c>
      <c r="D154" s="11">
        <f t="shared" si="10"/>
        <v>4</v>
      </c>
      <c r="E154" s="11">
        <v>0.10861378001502696</v>
      </c>
      <c r="F154" s="12">
        <v>32020</v>
      </c>
      <c r="G154" s="11">
        <f t="shared" si="11"/>
        <v>1.7878488955388612</v>
      </c>
      <c r="L154" s="6"/>
      <c r="R154" s="6"/>
    </row>
    <row r="155" spans="1:18" x14ac:dyDescent="0.3">
      <c r="A155" s="5">
        <v>36867</v>
      </c>
      <c r="B155" s="11">
        <f t="shared" si="8"/>
        <v>2000</v>
      </c>
      <c r="C155" s="11">
        <f t="shared" si="9"/>
        <v>12</v>
      </c>
      <c r="D155" s="11">
        <f t="shared" si="10"/>
        <v>4</v>
      </c>
      <c r="E155" s="11">
        <v>-2.8298486333223152E-2</v>
      </c>
      <c r="F155" s="12">
        <v>32050</v>
      </c>
      <c r="G155" s="11">
        <f t="shared" si="11"/>
        <v>0</v>
      </c>
      <c r="L155" s="6"/>
      <c r="R155" s="6"/>
    </row>
    <row r="156" spans="1:18" x14ac:dyDescent="0.3">
      <c r="A156" s="5">
        <v>36902</v>
      </c>
      <c r="B156" s="11">
        <f t="shared" si="8"/>
        <v>2001</v>
      </c>
      <c r="C156" s="11">
        <f t="shared" si="9"/>
        <v>1</v>
      </c>
      <c r="D156" s="11">
        <f t="shared" si="10"/>
        <v>1</v>
      </c>
      <c r="E156" s="11">
        <v>-4.4437885463495599E-2</v>
      </c>
      <c r="F156" s="12">
        <v>32081</v>
      </c>
      <c r="G156" s="11">
        <f t="shared" si="11"/>
        <v>0</v>
      </c>
      <c r="L156" s="6"/>
      <c r="R156" s="6"/>
    </row>
    <row r="157" spans="1:18" x14ac:dyDescent="0.3">
      <c r="A157" s="5">
        <v>36930</v>
      </c>
      <c r="B157" s="11">
        <f t="shared" si="8"/>
        <v>2001</v>
      </c>
      <c r="C157" s="11">
        <f t="shared" si="9"/>
        <v>2</v>
      </c>
      <c r="D157" s="11">
        <f t="shared" si="10"/>
        <v>1</v>
      </c>
      <c r="E157" s="11">
        <v>-7.3742224236899218E-2</v>
      </c>
      <c r="F157" s="12">
        <v>32111</v>
      </c>
      <c r="G157" s="11">
        <f t="shared" si="11"/>
        <v>-1.3563883884880841</v>
      </c>
      <c r="L157" s="6"/>
      <c r="R157" s="6"/>
    </row>
    <row r="158" spans="1:18" x14ac:dyDescent="0.3">
      <c r="A158" s="5">
        <v>36958</v>
      </c>
      <c r="B158" s="11">
        <f t="shared" si="8"/>
        <v>2001</v>
      </c>
      <c r="C158" s="11">
        <f t="shared" si="9"/>
        <v>3</v>
      </c>
      <c r="D158" s="11">
        <f t="shared" si="10"/>
        <v>1</v>
      </c>
      <c r="E158" s="11">
        <v>8.0464666279046484E-2</v>
      </c>
      <c r="F158" s="12">
        <v>32142</v>
      </c>
      <c r="G158" s="11">
        <f t="shared" si="11"/>
        <v>-0.78209365818734744</v>
      </c>
      <c r="L158" s="6"/>
      <c r="R158" s="6"/>
    </row>
    <row r="159" spans="1:18" x14ac:dyDescent="0.3">
      <c r="A159" s="5">
        <v>36986</v>
      </c>
      <c r="B159" s="11">
        <f t="shared" si="8"/>
        <v>2001</v>
      </c>
      <c r="C159" s="11">
        <f t="shared" si="9"/>
        <v>4</v>
      </c>
      <c r="D159" s="11">
        <f t="shared" si="10"/>
        <v>2</v>
      </c>
      <c r="E159" s="11">
        <v>-0.23418707137952863</v>
      </c>
      <c r="F159" s="12">
        <v>32173</v>
      </c>
      <c r="G159" s="11">
        <f t="shared" si="11"/>
        <v>0</v>
      </c>
      <c r="L159" s="6"/>
      <c r="R159" s="6"/>
    </row>
    <row r="160" spans="1:18" x14ac:dyDescent="0.3">
      <c r="A160" s="5">
        <v>37021</v>
      </c>
      <c r="B160" s="11">
        <f t="shared" si="8"/>
        <v>2001</v>
      </c>
      <c r="C160" s="11">
        <f t="shared" si="9"/>
        <v>5</v>
      </c>
      <c r="D160" s="11">
        <f t="shared" si="10"/>
        <v>2</v>
      </c>
      <c r="E160" s="11">
        <v>-0.42640066965838697</v>
      </c>
      <c r="F160" s="12">
        <v>32202</v>
      </c>
      <c r="G160" s="11">
        <f t="shared" si="11"/>
        <v>0.41749273790094615</v>
      </c>
      <c r="L160" s="6"/>
      <c r="R160" s="6"/>
    </row>
    <row r="161" spans="1:18" x14ac:dyDescent="0.3">
      <c r="A161" s="5">
        <v>37048</v>
      </c>
      <c r="B161" s="11">
        <f t="shared" si="8"/>
        <v>2001</v>
      </c>
      <c r="C161" s="11">
        <f t="shared" si="9"/>
        <v>6</v>
      </c>
      <c r="D161" s="11">
        <f t="shared" si="10"/>
        <v>2</v>
      </c>
      <c r="E161" s="11">
        <v>8.4398643972065646E-3</v>
      </c>
      <c r="F161" s="12">
        <v>32233</v>
      </c>
      <c r="G161" s="11">
        <f t="shared" si="11"/>
        <v>-0.50824262933944142</v>
      </c>
      <c r="L161" s="6"/>
      <c r="R161" s="6"/>
    </row>
    <row r="162" spans="1:18" x14ac:dyDescent="0.3">
      <c r="A162" s="5">
        <v>37077</v>
      </c>
      <c r="B162" s="11">
        <f t="shared" si="8"/>
        <v>2001</v>
      </c>
      <c r="C162" s="11">
        <f t="shared" si="9"/>
        <v>7</v>
      </c>
      <c r="D162" s="11">
        <f t="shared" si="10"/>
        <v>3</v>
      </c>
      <c r="E162" s="11">
        <v>-4.6168070270301419E-2</v>
      </c>
      <c r="F162" s="12">
        <v>32263</v>
      </c>
      <c r="G162" s="11">
        <f t="shared" si="11"/>
        <v>-0.51026098920879481</v>
      </c>
      <c r="L162" s="6"/>
      <c r="R162" s="6"/>
    </row>
    <row r="163" spans="1:18" x14ac:dyDescent="0.3">
      <c r="A163" s="5">
        <v>37105</v>
      </c>
      <c r="B163" s="11">
        <f t="shared" si="8"/>
        <v>2001</v>
      </c>
      <c r="C163" s="11">
        <f t="shared" si="9"/>
        <v>8</v>
      </c>
      <c r="D163" s="11">
        <f t="shared" si="10"/>
        <v>3</v>
      </c>
      <c r="E163" s="11">
        <v>-2.3078744824973407E-2</v>
      </c>
      <c r="F163" s="12">
        <v>32294</v>
      </c>
      <c r="G163" s="11">
        <f t="shared" si="11"/>
        <v>-0.42637508639332161</v>
      </c>
      <c r="L163" s="6"/>
      <c r="R163" s="6"/>
    </row>
    <row r="164" spans="1:18" x14ac:dyDescent="0.3">
      <c r="A164" s="5">
        <v>37152</v>
      </c>
      <c r="B164" s="11">
        <f t="shared" si="8"/>
        <v>2001</v>
      </c>
      <c r="C164" s="11">
        <f t="shared" si="9"/>
        <v>9</v>
      </c>
      <c r="D164" s="11">
        <f t="shared" si="10"/>
        <v>3</v>
      </c>
      <c r="E164" s="11">
        <v>-4.7834960256866177E-2</v>
      </c>
      <c r="F164" s="12">
        <v>32324</v>
      </c>
      <c r="G164" s="11">
        <f t="shared" si="11"/>
        <v>0.36947691999977539</v>
      </c>
      <c r="L164" s="6"/>
      <c r="R164" s="6"/>
    </row>
    <row r="165" spans="1:18" x14ac:dyDescent="0.3">
      <c r="A165" s="5">
        <v>37168</v>
      </c>
      <c r="B165" s="11">
        <f t="shared" si="8"/>
        <v>2001</v>
      </c>
      <c r="C165" s="11">
        <f t="shared" si="9"/>
        <v>10</v>
      </c>
      <c r="D165" s="11">
        <f t="shared" si="10"/>
        <v>4</v>
      </c>
      <c r="E165" s="11">
        <v>-0.11996846493477023</v>
      </c>
      <c r="F165" s="12">
        <v>32355</v>
      </c>
      <c r="G165" s="11">
        <f t="shared" si="11"/>
        <v>0.50887388122154131</v>
      </c>
      <c r="L165" s="6"/>
      <c r="R165" s="6"/>
    </row>
    <row r="166" spans="1:18" x14ac:dyDescent="0.3">
      <c r="A166" s="5">
        <v>37202</v>
      </c>
      <c r="B166" s="11">
        <f t="shared" si="8"/>
        <v>2001</v>
      </c>
      <c r="C166" s="11">
        <f t="shared" si="9"/>
        <v>11</v>
      </c>
      <c r="D166" s="11">
        <f t="shared" si="10"/>
        <v>4</v>
      </c>
      <c r="E166" s="11">
        <v>-0.36006411509089931</v>
      </c>
      <c r="F166" s="12">
        <v>32386</v>
      </c>
      <c r="G166" s="11">
        <f t="shared" si="11"/>
        <v>1.2197879692293085</v>
      </c>
      <c r="L166" s="6"/>
      <c r="R166" s="6"/>
    </row>
    <row r="167" spans="1:18" x14ac:dyDescent="0.3">
      <c r="A167" s="5">
        <v>37230</v>
      </c>
      <c r="B167" s="11">
        <f t="shared" si="8"/>
        <v>2001</v>
      </c>
      <c r="C167" s="11">
        <f t="shared" si="9"/>
        <v>12</v>
      </c>
      <c r="D167" s="11">
        <f t="shared" si="10"/>
        <v>4</v>
      </c>
      <c r="E167" s="11">
        <v>0.23414483123671256</v>
      </c>
      <c r="F167" s="12">
        <v>32416</v>
      </c>
      <c r="G167" s="11">
        <f t="shared" si="11"/>
        <v>0</v>
      </c>
      <c r="L167" s="6"/>
      <c r="R167" s="6"/>
    </row>
    <row r="168" spans="1:18" x14ac:dyDescent="0.3">
      <c r="A168" s="5">
        <v>37266</v>
      </c>
      <c r="B168" s="11">
        <f t="shared" si="8"/>
        <v>2002</v>
      </c>
      <c r="C168" s="11">
        <f t="shared" si="9"/>
        <v>1</v>
      </c>
      <c r="D168" s="11">
        <f t="shared" si="10"/>
        <v>1</v>
      </c>
      <c r="E168" s="11">
        <v>0.24613514589695837</v>
      </c>
      <c r="F168" s="12">
        <v>32447</v>
      </c>
      <c r="G168" s="11">
        <f t="shared" si="11"/>
        <v>0</v>
      </c>
      <c r="L168" s="6"/>
      <c r="R168" s="6"/>
    </row>
    <row r="169" spans="1:18" x14ac:dyDescent="0.3">
      <c r="A169" s="5">
        <v>37294</v>
      </c>
      <c r="B169" s="11">
        <f t="shared" si="8"/>
        <v>2002</v>
      </c>
      <c r="C169" s="11">
        <f t="shared" si="9"/>
        <v>2</v>
      </c>
      <c r="D169" s="11">
        <f t="shared" si="10"/>
        <v>1</v>
      </c>
      <c r="E169" s="11">
        <v>0.10846036397402183</v>
      </c>
      <c r="F169" s="12">
        <v>32477</v>
      </c>
      <c r="G169" s="11">
        <f t="shared" si="11"/>
        <v>0.48962256546243754</v>
      </c>
      <c r="L169" s="6"/>
      <c r="R169" s="6"/>
    </row>
    <row r="170" spans="1:18" x14ac:dyDescent="0.3">
      <c r="A170" s="5">
        <v>37322</v>
      </c>
      <c r="B170" s="11">
        <f t="shared" si="8"/>
        <v>2002</v>
      </c>
      <c r="C170" s="11">
        <f t="shared" si="9"/>
        <v>3</v>
      </c>
      <c r="D170" s="11">
        <f t="shared" si="10"/>
        <v>1</v>
      </c>
      <c r="E170" s="11">
        <v>0.22795358011900715</v>
      </c>
      <c r="F170" s="12">
        <v>32508</v>
      </c>
      <c r="G170" s="11">
        <f t="shared" si="11"/>
        <v>0</v>
      </c>
      <c r="L170" s="6"/>
      <c r="R170" s="6"/>
    </row>
    <row r="171" spans="1:18" x14ac:dyDescent="0.3">
      <c r="A171" s="5">
        <v>37350</v>
      </c>
      <c r="B171" s="11">
        <f t="shared" si="8"/>
        <v>2002</v>
      </c>
      <c r="C171" s="11">
        <f t="shared" si="9"/>
        <v>4</v>
      </c>
      <c r="D171" s="11">
        <f t="shared" si="10"/>
        <v>2</v>
      </c>
      <c r="E171" s="11">
        <v>-3.711385414260341E-2</v>
      </c>
      <c r="F171" s="12">
        <v>32539</v>
      </c>
      <c r="G171" s="11">
        <f t="shared" si="11"/>
        <v>0</v>
      </c>
      <c r="L171" s="6"/>
      <c r="R171" s="6"/>
    </row>
    <row r="172" spans="1:18" x14ac:dyDescent="0.3">
      <c r="A172" s="5">
        <v>37385</v>
      </c>
      <c r="B172" s="11">
        <f t="shared" si="8"/>
        <v>2002</v>
      </c>
      <c r="C172" s="11">
        <f t="shared" si="9"/>
        <v>5</v>
      </c>
      <c r="D172" s="11">
        <f t="shared" si="10"/>
        <v>2</v>
      </c>
      <c r="E172" s="11">
        <v>-0.12316448920632948</v>
      </c>
      <c r="F172" s="12">
        <v>32567</v>
      </c>
      <c r="G172" s="11">
        <f t="shared" si="11"/>
        <v>0</v>
      </c>
      <c r="L172" s="6"/>
      <c r="R172" s="6"/>
    </row>
    <row r="173" spans="1:18" x14ac:dyDescent="0.3">
      <c r="A173" s="5">
        <v>37413</v>
      </c>
      <c r="B173" s="11">
        <f t="shared" si="8"/>
        <v>2002</v>
      </c>
      <c r="C173" s="11">
        <f t="shared" si="9"/>
        <v>6</v>
      </c>
      <c r="D173" s="11">
        <f t="shared" si="10"/>
        <v>2</v>
      </c>
      <c r="E173" s="11">
        <v>-0.12316448920632948</v>
      </c>
      <c r="F173" s="12">
        <v>32598</v>
      </c>
      <c r="G173" s="11">
        <f t="shared" si="11"/>
        <v>0</v>
      </c>
      <c r="L173" s="6"/>
      <c r="R173" s="6"/>
    </row>
    <row r="174" spans="1:18" x14ac:dyDescent="0.3">
      <c r="A174" s="5">
        <v>37441</v>
      </c>
      <c r="B174" s="11">
        <f t="shared" si="8"/>
        <v>2002</v>
      </c>
      <c r="C174" s="11">
        <f t="shared" si="9"/>
        <v>7</v>
      </c>
      <c r="D174" s="11">
        <f t="shared" si="10"/>
        <v>3</v>
      </c>
      <c r="E174" s="11">
        <v>-0.11273552956746412</v>
      </c>
      <c r="F174" s="12">
        <v>32628</v>
      </c>
      <c r="G174" s="11">
        <f t="shared" si="11"/>
        <v>0</v>
      </c>
      <c r="L174" s="6"/>
      <c r="R174" s="6"/>
    </row>
    <row r="175" spans="1:18" x14ac:dyDescent="0.3">
      <c r="A175" s="5">
        <v>37469</v>
      </c>
      <c r="B175" s="11">
        <f t="shared" si="8"/>
        <v>2002</v>
      </c>
      <c r="C175" s="11">
        <f t="shared" si="9"/>
        <v>8</v>
      </c>
      <c r="D175" s="11">
        <f t="shared" si="10"/>
        <v>3</v>
      </c>
      <c r="E175" s="11">
        <v>3.0576349110435847E-2</v>
      </c>
      <c r="F175" s="12">
        <v>32659</v>
      </c>
      <c r="G175" s="11">
        <f t="shared" si="11"/>
        <v>0.2259368568693656</v>
      </c>
      <c r="L175" s="6"/>
      <c r="R175" s="6"/>
    </row>
    <row r="176" spans="1:18" x14ac:dyDescent="0.3">
      <c r="A176" s="5">
        <v>37504</v>
      </c>
      <c r="B176" s="11">
        <f t="shared" si="8"/>
        <v>2002</v>
      </c>
      <c r="C176" s="11">
        <f t="shared" si="9"/>
        <v>9</v>
      </c>
      <c r="D176" s="11">
        <f t="shared" si="10"/>
        <v>3</v>
      </c>
      <c r="E176" s="11">
        <v>0.12584140420900816</v>
      </c>
      <c r="F176" s="12">
        <v>32689</v>
      </c>
      <c r="G176" s="11">
        <f t="shared" si="11"/>
        <v>0</v>
      </c>
      <c r="L176" s="6"/>
      <c r="R176" s="6"/>
    </row>
    <row r="177" spans="1:18" x14ac:dyDescent="0.3">
      <c r="A177" s="5">
        <v>37539</v>
      </c>
      <c r="B177" s="11">
        <f t="shared" si="8"/>
        <v>2002</v>
      </c>
      <c r="C177" s="11">
        <f t="shared" si="9"/>
        <v>10</v>
      </c>
      <c r="D177" s="11">
        <f t="shared" si="10"/>
        <v>4</v>
      </c>
      <c r="E177" s="11">
        <v>-3.3160001244418708E-3</v>
      </c>
      <c r="F177" s="12">
        <v>32720</v>
      </c>
      <c r="G177" s="11">
        <f t="shared" si="11"/>
        <v>0</v>
      </c>
      <c r="L177" s="6"/>
      <c r="R177" s="6"/>
    </row>
    <row r="178" spans="1:18" x14ac:dyDescent="0.3">
      <c r="A178" s="5">
        <v>37567</v>
      </c>
      <c r="B178" s="11">
        <f t="shared" si="8"/>
        <v>2002</v>
      </c>
      <c r="C178" s="11">
        <f t="shared" si="9"/>
        <v>11</v>
      </c>
      <c r="D178" s="11">
        <f t="shared" si="10"/>
        <v>4</v>
      </c>
      <c r="E178" s="11">
        <v>-0.31112700015589378</v>
      </c>
      <c r="F178" s="12">
        <v>32751</v>
      </c>
      <c r="G178" s="11">
        <f t="shared" si="11"/>
        <v>0</v>
      </c>
      <c r="L178" s="6"/>
      <c r="R178" s="6"/>
    </row>
    <row r="179" spans="1:18" x14ac:dyDescent="0.3">
      <c r="A179" s="5">
        <v>37595</v>
      </c>
      <c r="B179" s="11">
        <f t="shared" si="8"/>
        <v>2002</v>
      </c>
      <c r="C179" s="11">
        <f t="shared" si="9"/>
        <v>12</v>
      </c>
      <c r="D179" s="11">
        <f t="shared" si="10"/>
        <v>4</v>
      </c>
      <c r="E179" s="11">
        <v>-0.34051668295837678</v>
      </c>
      <c r="F179" s="12">
        <v>32781</v>
      </c>
      <c r="G179" s="11">
        <f t="shared" si="11"/>
        <v>-0.44213766379366048</v>
      </c>
      <c r="L179" s="6"/>
      <c r="R179" s="6"/>
    </row>
    <row r="180" spans="1:18" x14ac:dyDescent="0.3">
      <c r="A180" s="5">
        <v>37630</v>
      </c>
      <c r="B180" s="11">
        <f t="shared" si="8"/>
        <v>2003</v>
      </c>
      <c r="C180" s="11">
        <f t="shared" si="9"/>
        <v>1</v>
      </c>
      <c r="D180" s="11">
        <f t="shared" si="10"/>
        <v>1</v>
      </c>
      <c r="E180" s="11">
        <v>-0.50561385999419461</v>
      </c>
      <c r="F180" s="12">
        <v>32812</v>
      </c>
      <c r="G180" s="11">
        <f t="shared" si="11"/>
        <v>0.73092840860317132</v>
      </c>
      <c r="L180" s="6"/>
      <c r="R180" s="6"/>
    </row>
    <row r="181" spans="1:18" x14ac:dyDescent="0.3">
      <c r="A181" s="5">
        <v>37658</v>
      </c>
      <c r="B181" s="11">
        <f t="shared" si="8"/>
        <v>2003</v>
      </c>
      <c r="C181" s="11">
        <f t="shared" si="9"/>
        <v>2</v>
      </c>
      <c r="D181" s="11">
        <f t="shared" si="10"/>
        <v>1</v>
      </c>
      <c r="E181" s="11">
        <v>-1.2775183359105574E-2</v>
      </c>
      <c r="F181" s="12">
        <v>32842</v>
      </c>
      <c r="G181" s="11">
        <f t="shared" si="11"/>
        <v>0</v>
      </c>
      <c r="L181" s="6"/>
      <c r="R181" s="6"/>
    </row>
    <row r="182" spans="1:18" x14ac:dyDescent="0.3">
      <c r="A182" s="5">
        <v>37686</v>
      </c>
      <c r="B182" s="11">
        <f t="shared" si="8"/>
        <v>2003</v>
      </c>
      <c r="C182" s="11">
        <f t="shared" si="9"/>
        <v>3</v>
      </c>
      <c r="D182" s="11">
        <f t="shared" si="10"/>
        <v>1</v>
      </c>
      <c r="E182" s="11">
        <v>0.37360902860366507</v>
      </c>
      <c r="F182" s="12">
        <v>32873</v>
      </c>
      <c r="G182" s="11">
        <f t="shared" si="11"/>
        <v>0</v>
      </c>
      <c r="L182" s="6"/>
      <c r="R182" s="6"/>
    </row>
    <row r="183" spans="1:18" x14ac:dyDescent="0.3">
      <c r="A183" s="5">
        <v>37721</v>
      </c>
      <c r="B183" s="11">
        <f t="shared" si="8"/>
        <v>2003</v>
      </c>
      <c r="C183" s="11">
        <f t="shared" si="9"/>
        <v>4</v>
      </c>
      <c r="D183" s="11">
        <f t="shared" si="10"/>
        <v>2</v>
      </c>
      <c r="E183" s="11">
        <v>1.7260455830779699E-2</v>
      </c>
      <c r="F183" s="12">
        <v>32904</v>
      </c>
      <c r="G183" s="11">
        <f t="shared" si="11"/>
        <v>0</v>
      </c>
      <c r="L183" s="6"/>
      <c r="R183" s="6"/>
    </row>
    <row r="184" spans="1:18" x14ac:dyDescent="0.3">
      <c r="A184" s="5">
        <v>37749</v>
      </c>
      <c r="B184" s="11">
        <f t="shared" si="8"/>
        <v>2003</v>
      </c>
      <c r="C184" s="11">
        <f t="shared" si="9"/>
        <v>5</v>
      </c>
      <c r="D184" s="11">
        <f t="shared" si="10"/>
        <v>2</v>
      </c>
      <c r="E184" s="11">
        <v>-0.22544942038515911</v>
      </c>
      <c r="F184" s="12">
        <v>32932</v>
      </c>
      <c r="G184" s="11">
        <f t="shared" si="11"/>
        <v>0</v>
      </c>
      <c r="L184" s="6"/>
      <c r="R184" s="6"/>
    </row>
    <row r="185" spans="1:18" x14ac:dyDescent="0.3">
      <c r="A185" s="5">
        <v>37777</v>
      </c>
      <c r="B185" s="11">
        <f t="shared" si="8"/>
        <v>2003</v>
      </c>
      <c r="C185" s="11">
        <f t="shared" si="9"/>
        <v>6</v>
      </c>
      <c r="D185" s="11">
        <f t="shared" si="10"/>
        <v>2</v>
      </c>
      <c r="E185" s="11">
        <v>-0.23061094214122893</v>
      </c>
      <c r="F185" s="12">
        <v>32963</v>
      </c>
      <c r="G185" s="11">
        <f t="shared" si="11"/>
        <v>0</v>
      </c>
      <c r="L185" s="6"/>
      <c r="R185" s="6"/>
    </row>
    <row r="186" spans="1:18" x14ac:dyDescent="0.3">
      <c r="A186" s="5">
        <v>37812</v>
      </c>
      <c r="B186" s="11">
        <f t="shared" si="8"/>
        <v>2003</v>
      </c>
      <c r="C186" s="11">
        <f t="shared" si="9"/>
        <v>7</v>
      </c>
      <c r="D186" s="11">
        <f t="shared" si="10"/>
        <v>3</v>
      </c>
      <c r="E186" s="11">
        <v>-0.27511640213340338</v>
      </c>
      <c r="F186" s="12">
        <v>32993</v>
      </c>
      <c r="G186" s="11">
        <f t="shared" si="11"/>
        <v>0</v>
      </c>
      <c r="L186" s="6"/>
      <c r="R186" s="6"/>
    </row>
    <row r="187" spans="1:18" x14ac:dyDescent="0.3">
      <c r="A187" s="5">
        <v>37840</v>
      </c>
      <c r="B187" s="11">
        <f t="shared" si="8"/>
        <v>2003</v>
      </c>
      <c r="C187" s="11">
        <f t="shared" si="9"/>
        <v>8</v>
      </c>
      <c r="D187" s="11">
        <f t="shared" si="10"/>
        <v>3</v>
      </c>
      <c r="E187" s="11">
        <v>0.28801560065884585</v>
      </c>
      <c r="F187" s="12">
        <v>33024</v>
      </c>
      <c r="G187" s="11">
        <f t="shared" si="11"/>
        <v>0</v>
      </c>
      <c r="L187" s="6"/>
      <c r="R187" s="6"/>
    </row>
    <row r="188" spans="1:18" x14ac:dyDescent="0.3">
      <c r="A188" s="5">
        <v>37868</v>
      </c>
      <c r="B188" s="11">
        <f t="shared" si="8"/>
        <v>2003</v>
      </c>
      <c r="C188" s="11">
        <f t="shared" si="9"/>
        <v>9</v>
      </c>
      <c r="D188" s="11">
        <f t="shared" si="10"/>
        <v>3</v>
      </c>
      <c r="E188" s="11">
        <v>0.15626485606666538</v>
      </c>
      <c r="F188" s="12">
        <v>33054</v>
      </c>
      <c r="G188" s="11">
        <f t="shared" si="11"/>
        <v>0</v>
      </c>
      <c r="L188" s="6"/>
      <c r="R188" s="6"/>
    </row>
    <row r="189" spans="1:18" x14ac:dyDescent="0.3">
      <c r="A189" s="5">
        <v>37903</v>
      </c>
      <c r="B189" s="11">
        <f t="shared" si="8"/>
        <v>2003</v>
      </c>
      <c r="C189" s="11">
        <f t="shared" si="9"/>
        <v>10</v>
      </c>
      <c r="D189" s="11">
        <f t="shared" si="10"/>
        <v>4</v>
      </c>
      <c r="E189" s="11">
        <v>-0.12660052365107735</v>
      </c>
      <c r="F189" s="12">
        <v>33085</v>
      </c>
      <c r="G189" s="11">
        <f t="shared" si="11"/>
        <v>0</v>
      </c>
      <c r="L189" s="6"/>
      <c r="R189" s="6"/>
    </row>
    <row r="190" spans="1:18" x14ac:dyDescent="0.3">
      <c r="A190" s="5">
        <v>37931</v>
      </c>
      <c r="B190" s="11">
        <f t="shared" si="8"/>
        <v>2003</v>
      </c>
      <c r="C190" s="11">
        <f t="shared" si="9"/>
        <v>11</v>
      </c>
      <c r="D190" s="11">
        <f t="shared" si="10"/>
        <v>4</v>
      </c>
      <c r="E190" s="11">
        <v>0.19482216107176917</v>
      </c>
      <c r="F190" s="12">
        <v>33116</v>
      </c>
      <c r="G190" s="11">
        <f t="shared" si="11"/>
        <v>0</v>
      </c>
      <c r="L190" s="6"/>
      <c r="R190" s="6"/>
    </row>
    <row r="191" spans="1:18" x14ac:dyDescent="0.3">
      <c r="A191" s="5">
        <v>37959</v>
      </c>
      <c r="B191" s="11">
        <f t="shared" si="8"/>
        <v>2003</v>
      </c>
      <c r="C191" s="11">
        <f t="shared" si="9"/>
        <v>12</v>
      </c>
      <c r="D191" s="11">
        <f t="shared" si="10"/>
        <v>4</v>
      </c>
      <c r="E191" s="11">
        <v>3.5453748799752605E-2</v>
      </c>
      <c r="F191" s="12">
        <v>33146</v>
      </c>
      <c r="G191" s="11">
        <f t="shared" si="11"/>
        <v>0</v>
      </c>
      <c r="L191" s="6"/>
      <c r="R191" s="6"/>
    </row>
    <row r="192" spans="1:18" x14ac:dyDescent="0.3">
      <c r="A192" s="5">
        <v>37994</v>
      </c>
      <c r="B192" s="11">
        <f t="shared" si="8"/>
        <v>2004</v>
      </c>
      <c r="C192" s="11">
        <f t="shared" si="9"/>
        <v>1</v>
      </c>
      <c r="D192" s="11">
        <f t="shared" si="10"/>
        <v>1</v>
      </c>
      <c r="E192" s="11">
        <v>-1.8915825654227083E-2</v>
      </c>
      <c r="F192" s="12">
        <v>33177</v>
      </c>
      <c r="G192" s="11">
        <f t="shared" si="11"/>
        <v>-0.26277030331621254</v>
      </c>
      <c r="L192" s="6"/>
      <c r="R192" s="6"/>
    </row>
    <row r="193" spans="1:18" x14ac:dyDescent="0.3">
      <c r="A193" s="5">
        <v>38022</v>
      </c>
      <c r="B193" s="11">
        <f t="shared" si="8"/>
        <v>2004</v>
      </c>
      <c r="C193" s="11">
        <f t="shared" si="9"/>
        <v>2</v>
      </c>
      <c r="D193" s="11">
        <f t="shared" si="10"/>
        <v>1</v>
      </c>
      <c r="E193" s="11">
        <v>-0.11301193456884923</v>
      </c>
      <c r="F193" s="12">
        <v>33207</v>
      </c>
      <c r="G193" s="11">
        <f t="shared" si="11"/>
        <v>0</v>
      </c>
      <c r="L193" s="6"/>
      <c r="R193" s="6"/>
    </row>
    <row r="194" spans="1:18" x14ac:dyDescent="0.3">
      <c r="A194" s="5">
        <v>38050</v>
      </c>
      <c r="B194" s="11">
        <f t="shared" si="8"/>
        <v>2004</v>
      </c>
      <c r="C194" s="11">
        <f t="shared" si="9"/>
        <v>3</v>
      </c>
      <c r="D194" s="11">
        <f t="shared" si="10"/>
        <v>1</v>
      </c>
      <c r="E194" s="11">
        <v>-0.29660850788727822</v>
      </c>
      <c r="F194" s="12">
        <v>33238</v>
      </c>
      <c r="G194" s="11">
        <f t="shared" si="11"/>
        <v>0</v>
      </c>
      <c r="L194" s="6"/>
      <c r="R194" s="6"/>
    </row>
    <row r="195" spans="1:18" x14ac:dyDescent="0.3">
      <c r="A195" s="5">
        <v>38085</v>
      </c>
      <c r="B195" s="11">
        <f t="shared" ref="B195:B239" si="12">YEAR(A195)</f>
        <v>2004</v>
      </c>
      <c r="C195" s="11">
        <f t="shared" ref="C195:C239" si="13">MONTH(A195)</f>
        <v>4</v>
      </c>
      <c r="D195" s="11">
        <f t="shared" ref="D195:D239" si="14">ROUNDUP(MONTH(A195)/3,0)</f>
        <v>2</v>
      </c>
      <c r="E195" s="11">
        <v>-0.22342606892469544</v>
      </c>
      <c r="F195" s="12">
        <v>33269</v>
      </c>
      <c r="G195" s="11">
        <f t="shared" ref="G195:G258" si="15">SUMIFS($E$3:$E$279,$B$3:$B$279,YEAR(F195),$C$3:$C$279,MONTH(F195))</f>
        <v>0</v>
      </c>
      <c r="L195" s="6"/>
      <c r="R195" s="6"/>
    </row>
    <row r="196" spans="1:18" x14ac:dyDescent="0.3">
      <c r="A196" s="5">
        <v>38113</v>
      </c>
      <c r="B196" s="11">
        <f t="shared" si="12"/>
        <v>2004</v>
      </c>
      <c r="C196" s="11">
        <f t="shared" si="13"/>
        <v>5</v>
      </c>
      <c r="D196" s="11">
        <f t="shared" si="14"/>
        <v>2</v>
      </c>
      <c r="E196" s="11">
        <v>2.4179349949387613E-2</v>
      </c>
      <c r="F196" s="12">
        <v>33297</v>
      </c>
      <c r="G196" s="11">
        <f t="shared" si="15"/>
        <v>0.29070232628852744</v>
      </c>
      <c r="L196" s="6"/>
      <c r="R196" s="6"/>
    </row>
    <row r="197" spans="1:18" x14ac:dyDescent="0.3">
      <c r="A197" s="5">
        <v>38148</v>
      </c>
      <c r="B197" s="11">
        <f t="shared" si="12"/>
        <v>2004</v>
      </c>
      <c r="C197" s="11">
        <f t="shared" si="13"/>
        <v>6</v>
      </c>
      <c r="D197" s="11">
        <f t="shared" si="14"/>
        <v>2</v>
      </c>
      <c r="E197" s="11">
        <v>2.4707404334867816E-2</v>
      </c>
      <c r="F197" s="12">
        <v>33328</v>
      </c>
      <c r="G197" s="11">
        <f t="shared" si="15"/>
        <v>0.36584463332579631</v>
      </c>
      <c r="L197" s="6"/>
      <c r="R197" s="6"/>
    </row>
    <row r="198" spans="1:18" x14ac:dyDescent="0.3">
      <c r="A198" s="5">
        <v>38176</v>
      </c>
      <c r="B198" s="11">
        <f t="shared" si="12"/>
        <v>2004</v>
      </c>
      <c r="C198" s="11">
        <f t="shared" si="13"/>
        <v>7</v>
      </c>
      <c r="D198" s="11">
        <f t="shared" si="14"/>
        <v>3</v>
      </c>
      <c r="E198" s="11">
        <v>-0.31069659923443305</v>
      </c>
      <c r="F198" s="12">
        <v>33358</v>
      </c>
      <c r="G198" s="11">
        <f t="shared" si="15"/>
        <v>0.34512010586273689</v>
      </c>
      <c r="L198" s="6"/>
      <c r="R198" s="6"/>
    </row>
    <row r="199" spans="1:18" x14ac:dyDescent="0.3">
      <c r="A199" s="5">
        <v>38204</v>
      </c>
      <c r="B199" s="11">
        <f t="shared" si="12"/>
        <v>2004</v>
      </c>
      <c r="C199" s="11">
        <f t="shared" si="13"/>
        <v>8</v>
      </c>
      <c r="D199" s="11">
        <f t="shared" si="14"/>
        <v>3</v>
      </c>
      <c r="E199" s="11">
        <v>-7.5208663706585188E-3</v>
      </c>
      <c r="F199" s="12">
        <v>33389</v>
      </c>
      <c r="G199" s="11">
        <f t="shared" si="15"/>
        <v>-0.11522849781882538</v>
      </c>
      <c r="L199" s="6"/>
      <c r="R199" s="6"/>
    </row>
    <row r="200" spans="1:18" x14ac:dyDescent="0.3">
      <c r="A200" s="5">
        <v>38239</v>
      </c>
      <c r="B200" s="11">
        <f t="shared" si="12"/>
        <v>2004</v>
      </c>
      <c r="C200" s="11">
        <f t="shared" si="13"/>
        <v>9</v>
      </c>
      <c r="D200" s="11">
        <f t="shared" si="14"/>
        <v>3</v>
      </c>
      <c r="E200" s="11">
        <v>-0.23276465093876667</v>
      </c>
      <c r="F200" s="12">
        <v>33419</v>
      </c>
      <c r="G200" s="11">
        <f t="shared" si="15"/>
        <v>0</v>
      </c>
      <c r="L200" s="6"/>
      <c r="R200" s="6"/>
    </row>
    <row r="201" spans="1:18" x14ac:dyDescent="0.3">
      <c r="A201" s="5">
        <v>38267</v>
      </c>
      <c r="B201" s="11">
        <f t="shared" si="12"/>
        <v>2004</v>
      </c>
      <c r="C201" s="11">
        <f t="shared" si="13"/>
        <v>10</v>
      </c>
      <c r="D201" s="11">
        <f t="shared" si="14"/>
        <v>4</v>
      </c>
      <c r="E201" s="11">
        <v>-0.1467680329620463</v>
      </c>
      <c r="F201" s="12">
        <v>33450</v>
      </c>
      <c r="G201" s="11">
        <f t="shared" si="15"/>
        <v>-0.1672212400959171</v>
      </c>
      <c r="L201" s="6"/>
      <c r="R201" s="6"/>
    </row>
    <row r="202" spans="1:18" x14ac:dyDescent="0.3">
      <c r="A202" s="5">
        <v>38295</v>
      </c>
      <c r="B202" s="11">
        <f t="shared" si="12"/>
        <v>2004</v>
      </c>
      <c r="C202" s="11">
        <f t="shared" si="13"/>
        <v>11</v>
      </c>
      <c r="D202" s="11">
        <f t="shared" si="14"/>
        <v>4</v>
      </c>
      <c r="E202" s="11">
        <v>0.29096556907602433</v>
      </c>
      <c r="F202" s="12">
        <v>33481</v>
      </c>
      <c r="G202" s="11">
        <f t="shared" si="15"/>
        <v>0</v>
      </c>
      <c r="L202" s="6"/>
      <c r="R202" s="6"/>
    </row>
    <row r="203" spans="1:18" x14ac:dyDescent="0.3">
      <c r="A203" s="5">
        <v>38330</v>
      </c>
      <c r="B203" s="11">
        <f t="shared" si="12"/>
        <v>2004</v>
      </c>
      <c r="C203" s="11">
        <f t="shared" si="13"/>
        <v>12</v>
      </c>
      <c r="D203" s="11">
        <f t="shared" si="14"/>
        <v>4</v>
      </c>
      <c r="E203" s="11">
        <v>0.29096556907602433</v>
      </c>
      <c r="F203" s="12">
        <v>33511</v>
      </c>
      <c r="G203" s="11">
        <f t="shared" si="15"/>
        <v>8.0028618965474974E-2</v>
      </c>
      <c r="L203" s="6"/>
      <c r="R203" s="6"/>
    </row>
    <row r="204" spans="1:18" x14ac:dyDescent="0.3">
      <c r="A204" s="5">
        <v>38365</v>
      </c>
      <c r="B204" s="11">
        <f t="shared" si="12"/>
        <v>2005</v>
      </c>
      <c r="C204" s="11">
        <f t="shared" si="13"/>
        <v>1</v>
      </c>
      <c r="D204" s="11">
        <f t="shared" si="14"/>
        <v>1</v>
      </c>
      <c r="E204" s="11">
        <v>0.23977562189871363</v>
      </c>
      <c r="F204" s="12">
        <v>33542</v>
      </c>
      <c r="G204" s="11">
        <f t="shared" si="15"/>
        <v>0</v>
      </c>
      <c r="L204" s="6"/>
      <c r="R204" s="6"/>
    </row>
    <row r="205" spans="1:18" x14ac:dyDescent="0.3">
      <c r="A205" s="5">
        <v>38393</v>
      </c>
      <c r="B205" s="11">
        <f t="shared" si="12"/>
        <v>2005</v>
      </c>
      <c r="C205" s="11">
        <f t="shared" si="13"/>
        <v>2</v>
      </c>
      <c r="D205" s="11">
        <f t="shared" si="14"/>
        <v>1</v>
      </c>
      <c r="E205" s="11">
        <v>-0.10992878240355718</v>
      </c>
      <c r="F205" s="12">
        <v>33572</v>
      </c>
      <c r="G205" s="11">
        <f t="shared" si="15"/>
        <v>0</v>
      </c>
      <c r="L205" s="6"/>
      <c r="R205" s="6"/>
    </row>
    <row r="206" spans="1:18" x14ac:dyDescent="0.3">
      <c r="A206" s="5">
        <v>38421</v>
      </c>
      <c r="B206" s="11">
        <f t="shared" si="12"/>
        <v>2005</v>
      </c>
      <c r="C206" s="11">
        <f t="shared" si="13"/>
        <v>3</v>
      </c>
      <c r="D206" s="11">
        <f t="shared" si="14"/>
        <v>1</v>
      </c>
      <c r="E206" s="11">
        <v>-0.22942199854854115</v>
      </c>
      <c r="F206" s="12">
        <v>33603</v>
      </c>
      <c r="G206" s="11">
        <f t="shared" si="15"/>
        <v>0</v>
      </c>
      <c r="L206" s="6"/>
      <c r="R206" s="6"/>
    </row>
    <row r="207" spans="1:18" x14ac:dyDescent="0.3">
      <c r="A207" s="5">
        <v>38449</v>
      </c>
      <c r="B207" s="11">
        <f t="shared" si="12"/>
        <v>2005</v>
      </c>
      <c r="C207" s="11">
        <f t="shared" si="13"/>
        <v>4</v>
      </c>
      <c r="D207" s="11">
        <f t="shared" si="14"/>
        <v>2</v>
      </c>
      <c r="E207" s="11">
        <v>-0.26541490042350557</v>
      </c>
      <c r="F207" s="12">
        <v>33634</v>
      </c>
      <c r="G207" s="11">
        <f t="shared" si="15"/>
        <v>0</v>
      </c>
      <c r="L207" s="6"/>
      <c r="R207" s="6"/>
    </row>
    <row r="208" spans="1:18" x14ac:dyDescent="0.3">
      <c r="A208" s="5">
        <v>38481</v>
      </c>
      <c r="B208" s="11">
        <f t="shared" si="12"/>
        <v>2005</v>
      </c>
      <c r="C208" s="11">
        <f t="shared" si="13"/>
        <v>5</v>
      </c>
      <c r="D208" s="11">
        <f t="shared" si="14"/>
        <v>2</v>
      </c>
      <c r="E208" s="11">
        <v>4.0179340801094102E-2</v>
      </c>
      <c r="F208" s="12">
        <v>33663</v>
      </c>
      <c r="G208" s="11">
        <f t="shared" si="15"/>
        <v>0</v>
      </c>
      <c r="L208" s="6"/>
      <c r="R208" s="6"/>
    </row>
    <row r="209" spans="1:18" x14ac:dyDescent="0.3">
      <c r="A209" s="5">
        <v>38512</v>
      </c>
      <c r="B209" s="11">
        <f t="shared" si="12"/>
        <v>2005</v>
      </c>
      <c r="C209" s="11">
        <f t="shared" si="13"/>
        <v>6</v>
      </c>
      <c r="D209" s="11">
        <f t="shared" si="14"/>
        <v>2</v>
      </c>
      <c r="E209" s="11">
        <v>1.5951179754682427E-2</v>
      </c>
      <c r="F209" s="12">
        <v>33694</v>
      </c>
      <c r="G209" s="11">
        <f t="shared" si="15"/>
        <v>0</v>
      </c>
      <c r="L209" s="6"/>
      <c r="R209" s="6"/>
    </row>
    <row r="210" spans="1:18" x14ac:dyDescent="0.3">
      <c r="A210" s="5">
        <v>38540</v>
      </c>
      <c r="B210" s="11">
        <f t="shared" si="12"/>
        <v>2005</v>
      </c>
      <c r="C210" s="11">
        <f t="shared" si="13"/>
        <v>7</v>
      </c>
      <c r="D210" s="11">
        <f t="shared" si="14"/>
        <v>3</v>
      </c>
      <c r="E210" s="11">
        <v>-0.19702236904577244</v>
      </c>
      <c r="F210" s="12">
        <v>33724</v>
      </c>
      <c r="G210" s="11">
        <f t="shared" si="15"/>
        <v>0</v>
      </c>
      <c r="L210" s="6"/>
      <c r="R210" s="6"/>
    </row>
    <row r="211" spans="1:18" x14ac:dyDescent="0.3">
      <c r="A211" s="5">
        <v>38568</v>
      </c>
      <c r="B211" s="11">
        <f t="shared" si="12"/>
        <v>2005</v>
      </c>
      <c r="C211" s="11">
        <f t="shared" si="13"/>
        <v>8</v>
      </c>
      <c r="D211" s="11">
        <f t="shared" si="14"/>
        <v>3</v>
      </c>
      <c r="E211" s="11">
        <v>-0.27229643137831272</v>
      </c>
      <c r="F211" s="12">
        <v>33755</v>
      </c>
      <c r="G211" s="11">
        <f t="shared" si="15"/>
        <v>-0.43157799485463383</v>
      </c>
      <c r="L211" s="6"/>
      <c r="R211" s="6"/>
    </row>
    <row r="212" spans="1:18" x14ac:dyDescent="0.3">
      <c r="A212" s="5">
        <v>38603</v>
      </c>
      <c r="B212" s="11">
        <f t="shared" si="12"/>
        <v>2005</v>
      </c>
      <c r="C212" s="11">
        <f t="shared" si="13"/>
        <v>9</v>
      </c>
      <c r="D212" s="11">
        <f t="shared" si="14"/>
        <v>3</v>
      </c>
      <c r="E212" s="11">
        <v>0.13831594163086872</v>
      </c>
      <c r="F212" s="12">
        <v>33785</v>
      </c>
      <c r="G212" s="11">
        <f t="shared" si="15"/>
        <v>0</v>
      </c>
      <c r="L212" s="6"/>
      <c r="R212" s="6"/>
    </row>
    <row r="213" spans="1:18" x14ac:dyDescent="0.3">
      <c r="A213" s="5">
        <v>38631</v>
      </c>
      <c r="B213" s="11">
        <f t="shared" si="12"/>
        <v>2005</v>
      </c>
      <c r="C213" s="11">
        <f t="shared" si="13"/>
        <v>10</v>
      </c>
      <c r="D213" s="11">
        <f t="shared" si="14"/>
        <v>4</v>
      </c>
      <c r="E213" s="11">
        <v>0.20250494222229234</v>
      </c>
      <c r="F213" s="12">
        <v>33816</v>
      </c>
      <c r="G213" s="11">
        <f t="shared" si="15"/>
        <v>0</v>
      </c>
      <c r="L213" s="6"/>
      <c r="R213" s="6"/>
    </row>
    <row r="214" spans="1:18" x14ac:dyDescent="0.3">
      <c r="A214" s="5">
        <v>38666</v>
      </c>
      <c r="B214" s="11">
        <f t="shared" si="12"/>
        <v>2005</v>
      </c>
      <c r="C214" s="11">
        <f t="shared" si="13"/>
        <v>11</v>
      </c>
      <c r="D214" s="11">
        <f t="shared" si="14"/>
        <v>4</v>
      </c>
      <c r="E214" s="11">
        <v>0.29776174327371296</v>
      </c>
      <c r="F214" s="12">
        <v>33847</v>
      </c>
      <c r="G214" s="11">
        <f t="shared" si="15"/>
        <v>0</v>
      </c>
      <c r="L214" s="6"/>
      <c r="R214" s="6"/>
    </row>
    <row r="215" spans="1:18" x14ac:dyDescent="0.3">
      <c r="A215" s="5">
        <v>38694</v>
      </c>
      <c r="B215" s="11">
        <f t="shared" si="12"/>
        <v>2005</v>
      </c>
      <c r="C215" s="11">
        <f t="shared" si="13"/>
        <v>12</v>
      </c>
      <c r="D215" s="11">
        <f t="shared" si="14"/>
        <v>4</v>
      </c>
      <c r="E215" s="11">
        <v>0.23704789273369253</v>
      </c>
      <c r="F215" s="12">
        <v>33877</v>
      </c>
      <c r="G215" s="11">
        <f t="shared" si="15"/>
        <v>-0.48676776916415709</v>
      </c>
      <c r="L215" s="6"/>
      <c r="R215" s="6"/>
    </row>
    <row r="216" spans="1:18" x14ac:dyDescent="0.3">
      <c r="A216" s="5">
        <v>38729</v>
      </c>
      <c r="B216" s="11">
        <f t="shared" si="12"/>
        <v>2006</v>
      </c>
      <c r="C216" s="11">
        <f t="shared" si="13"/>
        <v>1</v>
      </c>
      <c r="D216" s="11">
        <f t="shared" si="14"/>
        <v>1</v>
      </c>
      <c r="E216" s="11">
        <v>5.7152683157808935E-2</v>
      </c>
      <c r="F216" s="12">
        <v>33908</v>
      </c>
      <c r="G216" s="11">
        <f t="shared" si="15"/>
        <v>-0.54609039210389398</v>
      </c>
      <c r="L216" s="6"/>
      <c r="R216" s="6"/>
    </row>
    <row r="217" spans="1:18" x14ac:dyDescent="0.3">
      <c r="A217" s="5">
        <v>38757</v>
      </c>
      <c r="B217" s="11">
        <f t="shared" si="12"/>
        <v>2006</v>
      </c>
      <c r="C217" s="11">
        <f t="shared" si="13"/>
        <v>2</v>
      </c>
      <c r="D217" s="11">
        <f t="shared" si="14"/>
        <v>1</v>
      </c>
      <c r="E217" s="11">
        <v>-4.9373116564412664E-2</v>
      </c>
      <c r="F217" s="12">
        <v>33938</v>
      </c>
      <c r="G217" s="11">
        <f t="shared" si="15"/>
        <v>-0.5013938766400694</v>
      </c>
      <c r="L217" s="6"/>
      <c r="R217" s="6"/>
    </row>
    <row r="218" spans="1:18" x14ac:dyDescent="0.3">
      <c r="A218" s="5">
        <v>38785</v>
      </c>
      <c r="B218" s="11">
        <f t="shared" si="12"/>
        <v>2006</v>
      </c>
      <c r="C218" s="11">
        <f t="shared" si="13"/>
        <v>3</v>
      </c>
      <c r="D218" s="11">
        <f t="shared" si="14"/>
        <v>1</v>
      </c>
      <c r="E218" s="11">
        <v>8.7539149783838338E-2</v>
      </c>
      <c r="F218" s="12">
        <v>33969</v>
      </c>
      <c r="G218" s="11">
        <f t="shared" si="15"/>
        <v>0</v>
      </c>
      <c r="L218" s="6"/>
      <c r="R218" s="6"/>
    </row>
    <row r="219" spans="1:18" x14ac:dyDescent="0.3">
      <c r="A219" s="5">
        <v>38813</v>
      </c>
      <c r="B219" s="11">
        <f t="shared" si="12"/>
        <v>2006</v>
      </c>
      <c r="C219" s="11">
        <f t="shared" si="13"/>
        <v>4</v>
      </c>
      <c r="D219" s="11">
        <f t="shared" si="14"/>
        <v>2</v>
      </c>
      <c r="E219" s="11">
        <v>-2.2401185312972621E-2</v>
      </c>
      <c r="F219" s="12">
        <v>34000</v>
      </c>
      <c r="G219" s="11">
        <f t="shared" si="15"/>
        <v>-0.80556916122937827</v>
      </c>
      <c r="L219" s="6"/>
      <c r="R219" s="6"/>
    </row>
    <row r="220" spans="1:18" x14ac:dyDescent="0.3">
      <c r="A220" s="5">
        <v>38841</v>
      </c>
      <c r="B220" s="11">
        <f t="shared" si="12"/>
        <v>2006</v>
      </c>
      <c r="C220" s="11">
        <f t="shared" si="13"/>
        <v>5</v>
      </c>
      <c r="D220" s="11">
        <f t="shared" si="14"/>
        <v>2</v>
      </c>
      <c r="E220" s="11">
        <v>-4.7738244609003458E-2</v>
      </c>
      <c r="F220" s="12">
        <v>34028</v>
      </c>
      <c r="G220" s="11">
        <f t="shared" si="15"/>
        <v>0</v>
      </c>
      <c r="L220" s="6"/>
      <c r="R220" s="6"/>
    </row>
    <row r="221" spans="1:18" x14ac:dyDescent="0.3">
      <c r="A221" s="5">
        <v>38876</v>
      </c>
      <c r="B221" s="11">
        <f t="shared" si="12"/>
        <v>2006</v>
      </c>
      <c r="C221" s="11">
        <f t="shared" si="13"/>
        <v>6</v>
      </c>
      <c r="D221" s="11">
        <f t="shared" si="14"/>
        <v>2</v>
      </c>
      <c r="E221" s="11">
        <v>2.3298649443156721E-2</v>
      </c>
      <c r="F221" s="12">
        <v>34059</v>
      </c>
      <c r="G221" s="11">
        <f t="shared" si="15"/>
        <v>0</v>
      </c>
      <c r="L221" s="6"/>
      <c r="R221" s="6"/>
    </row>
    <row r="222" spans="1:18" x14ac:dyDescent="0.3">
      <c r="A222" s="5">
        <v>38904</v>
      </c>
      <c r="B222" s="11">
        <f t="shared" si="12"/>
        <v>2006</v>
      </c>
      <c r="C222" s="11">
        <f t="shared" si="13"/>
        <v>7</v>
      </c>
      <c r="D222" s="11">
        <f t="shared" si="14"/>
        <v>3</v>
      </c>
      <c r="E222" s="11">
        <v>-5.1358359423167431E-2</v>
      </c>
      <c r="F222" s="12">
        <v>34089</v>
      </c>
      <c r="G222" s="11">
        <f t="shared" si="15"/>
        <v>0</v>
      </c>
      <c r="L222" s="6"/>
      <c r="R222" s="6"/>
    </row>
    <row r="223" spans="1:18" x14ac:dyDescent="0.3">
      <c r="A223" s="5">
        <v>38932</v>
      </c>
      <c r="B223" s="11">
        <f t="shared" si="12"/>
        <v>2006</v>
      </c>
      <c r="C223" s="11">
        <f t="shared" si="13"/>
        <v>8</v>
      </c>
      <c r="D223" s="11">
        <f t="shared" si="14"/>
        <v>3</v>
      </c>
      <c r="E223" s="11">
        <v>6.279366218734117E-2</v>
      </c>
      <c r="F223" s="12">
        <v>34120</v>
      </c>
      <c r="G223" s="11">
        <f t="shared" si="15"/>
        <v>0</v>
      </c>
      <c r="L223" s="6"/>
      <c r="R223" s="6"/>
    </row>
    <row r="224" spans="1:18" x14ac:dyDescent="0.3">
      <c r="A224" s="5">
        <v>38967</v>
      </c>
      <c r="B224" s="11">
        <f t="shared" si="12"/>
        <v>2006</v>
      </c>
      <c r="C224" s="11">
        <f t="shared" si="13"/>
        <v>9</v>
      </c>
      <c r="D224" s="11">
        <f t="shared" si="14"/>
        <v>3</v>
      </c>
      <c r="E224" s="11">
        <v>-0.18667828342717774</v>
      </c>
      <c r="F224" s="12">
        <v>34150</v>
      </c>
      <c r="G224" s="11">
        <f t="shared" si="15"/>
        <v>0</v>
      </c>
      <c r="L224" s="6"/>
      <c r="R224" s="6"/>
    </row>
    <row r="225" spans="1:18" x14ac:dyDescent="0.3">
      <c r="A225" s="5">
        <v>38995</v>
      </c>
      <c r="B225" s="11">
        <f t="shared" si="12"/>
        <v>2006</v>
      </c>
      <c r="C225" s="11">
        <f t="shared" si="13"/>
        <v>10</v>
      </c>
      <c r="D225" s="11">
        <f t="shared" si="14"/>
        <v>4</v>
      </c>
      <c r="E225" s="11">
        <v>-0.15818872957451935</v>
      </c>
      <c r="F225" s="12">
        <v>34181</v>
      </c>
      <c r="G225" s="11">
        <f t="shared" si="15"/>
        <v>0</v>
      </c>
      <c r="L225" s="6"/>
      <c r="R225" s="6"/>
    </row>
    <row r="226" spans="1:18" x14ac:dyDescent="0.3">
      <c r="A226" s="5">
        <v>39030</v>
      </c>
      <c r="B226" s="11">
        <f t="shared" si="12"/>
        <v>2006</v>
      </c>
      <c r="C226" s="11">
        <f t="shared" si="13"/>
        <v>11</v>
      </c>
      <c r="D226" s="11">
        <f t="shared" si="14"/>
        <v>4</v>
      </c>
      <c r="E226" s="11">
        <v>0.24451537626363218</v>
      </c>
      <c r="F226" s="12">
        <v>34212</v>
      </c>
      <c r="G226" s="11">
        <f t="shared" si="15"/>
        <v>0</v>
      </c>
      <c r="L226" s="6"/>
      <c r="R226" s="6"/>
    </row>
    <row r="227" spans="1:18" x14ac:dyDescent="0.3">
      <c r="A227" s="5">
        <v>39058</v>
      </c>
      <c r="B227" s="11">
        <f t="shared" si="12"/>
        <v>2006</v>
      </c>
      <c r="C227" s="11">
        <f t="shared" si="13"/>
        <v>12</v>
      </c>
      <c r="D227" s="11">
        <f t="shared" si="14"/>
        <v>4</v>
      </c>
      <c r="E227" s="11">
        <v>-4.9565693508867303E-3</v>
      </c>
      <c r="F227" s="12">
        <v>34242</v>
      </c>
      <c r="G227" s="11">
        <f t="shared" si="15"/>
        <v>0</v>
      </c>
      <c r="L227" s="6"/>
      <c r="R227" s="6"/>
    </row>
    <row r="228" spans="1:18" x14ac:dyDescent="0.3">
      <c r="A228" s="5">
        <v>39093</v>
      </c>
      <c r="B228" s="11">
        <f t="shared" si="12"/>
        <v>2007</v>
      </c>
      <c r="C228" s="11">
        <f t="shared" si="13"/>
        <v>1</v>
      </c>
      <c r="D228" s="11">
        <f t="shared" si="14"/>
        <v>1</v>
      </c>
      <c r="E228" s="11">
        <v>0.24598382562190457</v>
      </c>
      <c r="F228" s="12">
        <v>34273</v>
      </c>
      <c r="G228" s="11">
        <f t="shared" si="15"/>
        <v>0</v>
      </c>
      <c r="L228" s="6"/>
      <c r="R228" s="6"/>
    </row>
    <row r="229" spans="1:18" x14ac:dyDescent="0.3">
      <c r="A229" s="5">
        <v>39121</v>
      </c>
      <c r="B229" s="11">
        <f t="shared" si="12"/>
        <v>2007</v>
      </c>
      <c r="C229" s="11">
        <f t="shared" si="13"/>
        <v>2</v>
      </c>
      <c r="D229" s="11">
        <f t="shared" si="14"/>
        <v>1</v>
      </c>
      <c r="E229" s="11">
        <v>-2.3570265030878779E-2</v>
      </c>
      <c r="F229" s="12">
        <v>34303</v>
      </c>
      <c r="G229" s="11">
        <f t="shared" si="15"/>
        <v>-0.31813753025021613</v>
      </c>
      <c r="L229" s="6"/>
      <c r="R229" s="6"/>
    </row>
    <row r="230" spans="1:18" x14ac:dyDescent="0.3">
      <c r="A230" s="5">
        <v>39149</v>
      </c>
      <c r="B230" s="11">
        <f t="shared" si="12"/>
        <v>2007</v>
      </c>
      <c r="C230" s="11">
        <f t="shared" si="13"/>
        <v>3</v>
      </c>
      <c r="D230" s="11">
        <f t="shared" si="14"/>
        <v>1</v>
      </c>
      <c r="E230" s="11">
        <v>-0.14306348117586187</v>
      </c>
      <c r="F230" s="12">
        <v>34334</v>
      </c>
      <c r="G230" s="11">
        <f t="shared" si="15"/>
        <v>0</v>
      </c>
      <c r="L230" s="6"/>
      <c r="R230" s="6"/>
    </row>
    <row r="231" spans="1:18" x14ac:dyDescent="0.3">
      <c r="A231" s="5">
        <v>39177</v>
      </c>
      <c r="B231" s="11">
        <f t="shared" si="12"/>
        <v>2007</v>
      </c>
      <c r="C231" s="11">
        <f t="shared" si="13"/>
        <v>4</v>
      </c>
      <c r="D231" s="11">
        <f t="shared" si="14"/>
        <v>2</v>
      </c>
      <c r="E231" s="11">
        <v>-0.19443883234577844</v>
      </c>
      <c r="F231" s="12">
        <v>34365</v>
      </c>
      <c r="G231" s="11">
        <f t="shared" si="15"/>
        <v>0</v>
      </c>
      <c r="L231" s="6"/>
      <c r="R231" s="6"/>
    </row>
    <row r="232" spans="1:18" x14ac:dyDescent="0.3">
      <c r="A232" s="5">
        <v>39212</v>
      </c>
      <c r="B232" s="11">
        <f t="shared" si="12"/>
        <v>2007</v>
      </c>
      <c r="C232" s="11">
        <f t="shared" si="13"/>
        <v>5</v>
      </c>
      <c r="D232" s="11">
        <f t="shared" si="14"/>
        <v>2</v>
      </c>
      <c r="E232" s="11">
        <v>6.4700422522697587E-2</v>
      </c>
      <c r="F232" s="12">
        <v>34393</v>
      </c>
      <c r="G232" s="11">
        <f t="shared" si="15"/>
        <v>-8.0260576158870223E-2</v>
      </c>
      <c r="L232" s="6"/>
      <c r="R232" s="6"/>
    </row>
    <row r="233" spans="1:18" x14ac:dyDescent="0.3">
      <c r="A233" s="5">
        <v>39240</v>
      </c>
      <c r="B233" s="11">
        <f t="shared" si="12"/>
        <v>2007</v>
      </c>
      <c r="C233" s="11">
        <f t="shared" si="13"/>
        <v>6</v>
      </c>
      <c r="D233" s="11">
        <f t="shared" si="14"/>
        <v>2</v>
      </c>
      <c r="E233" s="11">
        <v>-0.16054336204541009</v>
      </c>
      <c r="F233" s="12">
        <v>34424</v>
      </c>
      <c r="G233" s="11">
        <f t="shared" si="15"/>
        <v>0</v>
      </c>
      <c r="L233" s="6"/>
      <c r="R233" s="6"/>
    </row>
    <row r="234" spans="1:18" x14ac:dyDescent="0.3">
      <c r="A234" s="5">
        <v>39268</v>
      </c>
      <c r="B234" s="11">
        <f t="shared" si="12"/>
        <v>2007</v>
      </c>
      <c r="C234" s="11">
        <f t="shared" si="13"/>
        <v>7</v>
      </c>
      <c r="D234" s="11">
        <f t="shared" si="14"/>
        <v>3</v>
      </c>
      <c r="E234" s="11">
        <v>5.9102440687081065E-2</v>
      </c>
      <c r="F234" s="12">
        <v>34454</v>
      </c>
      <c r="G234" s="11">
        <f t="shared" si="15"/>
        <v>0</v>
      </c>
      <c r="L234" s="6"/>
      <c r="R234" s="6"/>
    </row>
    <row r="235" spans="1:18" x14ac:dyDescent="0.3">
      <c r="A235" s="5">
        <v>39296</v>
      </c>
      <c r="B235" s="11">
        <f t="shared" si="12"/>
        <v>2007</v>
      </c>
      <c r="C235" s="11">
        <f t="shared" si="13"/>
        <v>8</v>
      </c>
      <c r="D235" s="11">
        <f t="shared" si="14"/>
        <v>3</v>
      </c>
      <c r="E235" s="11">
        <v>-8.3611673709846651E-2</v>
      </c>
      <c r="F235" s="12">
        <v>34485</v>
      </c>
      <c r="G235" s="11">
        <f t="shared" si="15"/>
        <v>0</v>
      </c>
      <c r="L235" s="6"/>
      <c r="R235" s="6"/>
    </row>
    <row r="236" spans="1:18" x14ac:dyDescent="0.3">
      <c r="A236" s="5">
        <v>39331</v>
      </c>
      <c r="B236" s="11">
        <f t="shared" si="12"/>
        <v>2007</v>
      </c>
      <c r="C236" s="11">
        <f t="shared" si="13"/>
        <v>9</v>
      </c>
      <c r="D236" s="11">
        <f t="shared" si="14"/>
        <v>3</v>
      </c>
      <c r="E236" s="13">
        <v>-1.7736301413755835E-2</v>
      </c>
      <c r="F236" s="12">
        <v>34515</v>
      </c>
      <c r="G236" s="11">
        <f t="shared" si="15"/>
        <v>0</v>
      </c>
      <c r="L236" s="6"/>
      <c r="R236" s="6"/>
    </row>
    <row r="237" spans="1:18" x14ac:dyDescent="0.3">
      <c r="A237" s="5">
        <v>39359</v>
      </c>
      <c r="B237" s="11">
        <f t="shared" si="12"/>
        <v>2007</v>
      </c>
      <c r="C237" s="11">
        <f t="shared" si="13"/>
        <v>10</v>
      </c>
      <c r="D237" s="11">
        <f t="shared" si="14"/>
        <v>4</v>
      </c>
      <c r="E237" s="11">
        <v>9.0851262024799526E-2</v>
      </c>
      <c r="F237" s="12">
        <v>34546</v>
      </c>
      <c r="G237" s="11">
        <f t="shared" si="15"/>
        <v>0</v>
      </c>
      <c r="L237" s="6"/>
      <c r="R237" s="6"/>
    </row>
    <row r="238" spans="1:18" x14ac:dyDescent="0.3">
      <c r="A238" s="5">
        <v>39394</v>
      </c>
      <c r="B238" s="11">
        <f t="shared" si="12"/>
        <v>2007</v>
      </c>
      <c r="C238" s="11">
        <f t="shared" si="13"/>
        <v>11</v>
      </c>
      <c r="D238" s="11">
        <f t="shared" si="14"/>
        <v>4</v>
      </c>
      <c r="E238" s="11">
        <v>0.17203316569046798</v>
      </c>
      <c r="F238" s="12">
        <v>34577</v>
      </c>
      <c r="G238" s="11">
        <f t="shared" si="15"/>
        <v>0</v>
      </c>
      <c r="L238" s="6"/>
      <c r="R238" s="6"/>
    </row>
    <row r="239" spans="1:18" x14ac:dyDescent="0.3">
      <c r="A239" s="5">
        <v>39422</v>
      </c>
      <c r="B239" s="11">
        <f t="shared" si="12"/>
        <v>2007</v>
      </c>
      <c r="C239" s="11">
        <f t="shared" si="13"/>
        <v>12</v>
      </c>
      <c r="D239" s="11">
        <f t="shared" si="14"/>
        <v>4</v>
      </c>
      <c r="E239" s="11">
        <v>-0.1732318894081043</v>
      </c>
      <c r="F239" s="12">
        <v>34607</v>
      </c>
      <c r="G239" s="11">
        <f t="shared" si="15"/>
        <v>0.57564629329979988</v>
      </c>
      <c r="L239" s="6"/>
      <c r="R239" s="6"/>
    </row>
    <row r="240" spans="1:18" x14ac:dyDescent="0.3">
      <c r="A240" s="5"/>
      <c r="F240" s="12">
        <v>34638</v>
      </c>
      <c r="G240" s="11">
        <f t="shared" si="15"/>
        <v>0</v>
      </c>
      <c r="L240" s="6"/>
      <c r="R240" s="6"/>
    </row>
    <row r="241" spans="1:18" x14ac:dyDescent="0.3">
      <c r="A241" s="5"/>
      <c r="F241" s="12">
        <v>34668</v>
      </c>
      <c r="G241" s="11">
        <f t="shared" si="15"/>
        <v>0</v>
      </c>
      <c r="L241" s="6"/>
      <c r="R241" s="6"/>
    </row>
    <row r="242" spans="1:18" x14ac:dyDescent="0.3">
      <c r="A242" s="5"/>
      <c r="F242" s="12">
        <v>34699</v>
      </c>
      <c r="G242" s="11">
        <f t="shared" si="15"/>
        <v>0.5757215317836879</v>
      </c>
      <c r="L242" s="6"/>
      <c r="R242" s="6"/>
    </row>
    <row r="243" spans="1:18" x14ac:dyDescent="0.3">
      <c r="A243" s="5"/>
      <c r="F243" s="12">
        <v>34730</v>
      </c>
      <c r="G243" s="11">
        <f t="shared" si="15"/>
        <v>0</v>
      </c>
      <c r="L243" s="6"/>
      <c r="R243" s="6"/>
    </row>
    <row r="244" spans="1:18" x14ac:dyDescent="0.3">
      <c r="A244" s="5"/>
      <c r="F244" s="12">
        <v>34758</v>
      </c>
      <c r="G244" s="11">
        <f t="shared" si="15"/>
        <v>0</v>
      </c>
      <c r="L244" s="6"/>
      <c r="R244" s="6"/>
    </row>
    <row r="245" spans="1:18" x14ac:dyDescent="0.3">
      <c r="A245" s="5"/>
      <c r="F245" s="12">
        <v>34789</v>
      </c>
      <c r="G245" s="11">
        <f t="shared" si="15"/>
        <v>0</v>
      </c>
      <c r="L245" s="6"/>
      <c r="R245" s="6"/>
    </row>
    <row r="246" spans="1:18" x14ac:dyDescent="0.3">
      <c r="A246" s="5"/>
      <c r="F246" s="12">
        <v>34819</v>
      </c>
      <c r="G246" s="11">
        <f t="shared" si="15"/>
        <v>0</v>
      </c>
      <c r="L246" s="6"/>
      <c r="R246" s="6"/>
    </row>
    <row r="247" spans="1:18" x14ac:dyDescent="0.3">
      <c r="A247" s="5"/>
      <c r="F247" s="12">
        <v>34850</v>
      </c>
      <c r="G247" s="11">
        <f t="shared" si="15"/>
        <v>0.42178810036999959</v>
      </c>
      <c r="L247" s="6"/>
      <c r="R247" s="6"/>
    </row>
    <row r="248" spans="1:18" x14ac:dyDescent="0.3">
      <c r="A248" s="5"/>
      <c r="F248" s="12">
        <v>34880</v>
      </c>
      <c r="G248" s="11">
        <f t="shared" si="15"/>
        <v>0</v>
      </c>
      <c r="L248" s="6"/>
      <c r="R248" s="6"/>
    </row>
    <row r="249" spans="1:18" x14ac:dyDescent="0.3">
      <c r="A249" s="5"/>
      <c r="F249" s="12">
        <v>34911</v>
      </c>
      <c r="G249" s="11">
        <f t="shared" si="15"/>
        <v>0</v>
      </c>
      <c r="L249" s="6"/>
      <c r="R249" s="6"/>
    </row>
    <row r="250" spans="1:18" x14ac:dyDescent="0.3">
      <c r="A250" s="5"/>
      <c r="F250" s="12">
        <v>34942</v>
      </c>
      <c r="G250" s="11">
        <f t="shared" si="15"/>
        <v>0</v>
      </c>
      <c r="L250" s="6"/>
      <c r="R250" s="6"/>
    </row>
    <row r="251" spans="1:18" x14ac:dyDescent="0.3">
      <c r="A251" s="5"/>
      <c r="F251" s="12">
        <v>34972</v>
      </c>
      <c r="G251" s="11">
        <f t="shared" si="15"/>
        <v>0</v>
      </c>
      <c r="L251" s="6"/>
      <c r="R251" s="6"/>
    </row>
    <row r="252" spans="1:18" x14ac:dyDescent="0.3">
      <c r="A252" s="5"/>
      <c r="F252" s="12">
        <v>35003</v>
      </c>
      <c r="G252" s="11">
        <f t="shared" si="15"/>
        <v>0</v>
      </c>
      <c r="L252" s="6"/>
      <c r="R252" s="6"/>
    </row>
    <row r="253" spans="1:18" x14ac:dyDescent="0.3">
      <c r="A253" s="5"/>
      <c r="F253" s="12">
        <v>35033</v>
      </c>
      <c r="G253" s="11">
        <f t="shared" si="15"/>
        <v>0</v>
      </c>
      <c r="L253" s="6"/>
      <c r="R253" s="6"/>
    </row>
    <row r="254" spans="1:18" x14ac:dyDescent="0.3">
      <c r="A254" s="5"/>
      <c r="F254" s="12">
        <v>35064</v>
      </c>
      <c r="G254" s="11">
        <f t="shared" si="15"/>
        <v>-0.44958487963812499</v>
      </c>
      <c r="L254" s="6"/>
      <c r="R254" s="6"/>
    </row>
    <row r="255" spans="1:18" x14ac:dyDescent="0.3">
      <c r="A255" s="5"/>
      <c r="F255" s="12">
        <v>35095</v>
      </c>
      <c r="G255" s="11">
        <f t="shared" si="15"/>
        <v>-0.27669513050595312</v>
      </c>
      <c r="L255" s="6"/>
      <c r="R255" s="6"/>
    </row>
    <row r="256" spans="1:18" x14ac:dyDescent="0.3">
      <c r="A256" s="5"/>
      <c r="F256" s="12">
        <v>35124</v>
      </c>
      <c r="G256" s="11">
        <f t="shared" si="15"/>
        <v>0</v>
      </c>
      <c r="L256" s="6"/>
      <c r="R256" s="6"/>
    </row>
    <row r="257" spans="1:18" x14ac:dyDescent="0.3">
      <c r="A257" s="5"/>
      <c r="F257" s="12">
        <v>35155</v>
      </c>
      <c r="G257" s="11">
        <f t="shared" si="15"/>
        <v>-0.2375258354820193</v>
      </c>
      <c r="L257" s="6"/>
      <c r="R257" s="6"/>
    </row>
    <row r="258" spans="1:18" x14ac:dyDescent="0.3">
      <c r="A258" s="5"/>
      <c r="F258" s="12">
        <v>35185</v>
      </c>
      <c r="G258" s="11">
        <f t="shared" si="15"/>
        <v>0</v>
      </c>
      <c r="L258" s="6"/>
      <c r="R258" s="6"/>
    </row>
    <row r="259" spans="1:18" x14ac:dyDescent="0.3">
      <c r="A259" s="5"/>
      <c r="F259" s="12">
        <v>35216</v>
      </c>
      <c r="G259" s="11">
        <f t="shared" ref="G259:G322" si="16">SUMIFS($E$3:$E$279,$B$3:$B$279,YEAR(F259),$C$3:$C$279,MONTH(F259))</f>
        <v>0</v>
      </c>
      <c r="L259" s="6"/>
      <c r="R259" s="6"/>
    </row>
    <row r="260" spans="1:18" x14ac:dyDescent="0.3">
      <c r="A260" s="5"/>
      <c r="F260" s="12">
        <v>35246</v>
      </c>
      <c r="G260" s="11">
        <f t="shared" si="16"/>
        <v>-0.10249035413378654</v>
      </c>
      <c r="L260" s="6"/>
      <c r="R260" s="6"/>
    </row>
    <row r="261" spans="1:18" x14ac:dyDescent="0.3">
      <c r="A261" s="5"/>
      <c r="F261" s="12">
        <v>35277</v>
      </c>
      <c r="G261" s="11">
        <f t="shared" si="16"/>
        <v>0</v>
      </c>
      <c r="L261" s="6"/>
      <c r="R261" s="6"/>
    </row>
    <row r="262" spans="1:18" x14ac:dyDescent="0.3">
      <c r="A262" s="5"/>
      <c r="F262" s="12">
        <v>35308</v>
      </c>
      <c r="G262" s="11">
        <f t="shared" si="16"/>
        <v>0</v>
      </c>
      <c r="L262" s="6"/>
      <c r="R262" s="6"/>
    </row>
    <row r="263" spans="1:18" x14ac:dyDescent="0.3">
      <c r="A263" s="5"/>
      <c r="F263" s="12">
        <v>35338</v>
      </c>
      <c r="G263" s="11">
        <f t="shared" si="16"/>
        <v>0</v>
      </c>
      <c r="L263" s="6"/>
      <c r="R263" s="6"/>
    </row>
    <row r="264" spans="1:18" x14ac:dyDescent="0.3">
      <c r="A264" s="5"/>
      <c r="F264" s="12">
        <v>35369</v>
      </c>
      <c r="G264" s="11">
        <f t="shared" si="16"/>
        <v>0.107361549397165</v>
      </c>
      <c r="L264" s="6"/>
      <c r="R264" s="6"/>
    </row>
    <row r="265" spans="1:18" x14ac:dyDescent="0.3">
      <c r="A265" s="5"/>
      <c r="F265" s="12">
        <v>35399</v>
      </c>
      <c r="G265" s="11">
        <f t="shared" si="16"/>
        <v>0</v>
      </c>
      <c r="L265" s="6"/>
      <c r="R265" s="6"/>
    </row>
    <row r="266" spans="1:18" x14ac:dyDescent="0.3">
      <c r="A266" s="5"/>
      <c r="F266" s="12">
        <v>35430</v>
      </c>
      <c r="G266" s="11">
        <f t="shared" si="16"/>
        <v>0</v>
      </c>
      <c r="L266" s="6"/>
      <c r="R266" s="6"/>
    </row>
    <row r="267" spans="1:18" x14ac:dyDescent="0.3">
      <c r="A267" s="5"/>
      <c r="F267" s="12">
        <v>35461</v>
      </c>
      <c r="G267" s="11">
        <f t="shared" si="16"/>
        <v>0</v>
      </c>
      <c r="L267" s="6"/>
      <c r="R267" s="6"/>
    </row>
    <row r="268" spans="1:18" x14ac:dyDescent="0.3">
      <c r="A268" s="5"/>
      <c r="F268" s="12">
        <v>35489</v>
      </c>
      <c r="G268" s="11">
        <f t="shared" si="16"/>
        <v>0</v>
      </c>
      <c r="L268" s="6"/>
      <c r="R268" s="6"/>
    </row>
    <row r="269" spans="1:18" x14ac:dyDescent="0.3">
      <c r="A269" s="5"/>
      <c r="F269" s="12">
        <v>35520</v>
      </c>
      <c r="G269" s="11">
        <f t="shared" si="16"/>
        <v>0</v>
      </c>
      <c r="L269" s="6"/>
      <c r="R269" s="6"/>
    </row>
    <row r="270" spans="1:18" x14ac:dyDescent="0.3">
      <c r="A270" s="5"/>
      <c r="F270" s="12">
        <v>35550</v>
      </c>
      <c r="G270" s="11">
        <f t="shared" si="16"/>
        <v>0</v>
      </c>
      <c r="L270" s="6"/>
      <c r="R270" s="6"/>
    </row>
    <row r="271" spans="1:18" x14ac:dyDescent="0.3">
      <c r="A271" s="5"/>
      <c r="F271" s="12">
        <v>35581</v>
      </c>
      <c r="G271" s="11">
        <f t="shared" si="16"/>
        <v>0.31957188869320341</v>
      </c>
      <c r="L271" s="6"/>
      <c r="R271" s="6"/>
    </row>
    <row r="272" spans="1:18" x14ac:dyDescent="0.3">
      <c r="A272" s="5"/>
      <c r="F272" s="12">
        <v>35611</v>
      </c>
      <c r="G272" s="11">
        <f t="shared" si="16"/>
        <v>0.32360732897114475</v>
      </c>
      <c r="L272" s="6"/>
      <c r="R272" s="6"/>
    </row>
    <row r="273" spans="1:18" x14ac:dyDescent="0.3">
      <c r="A273" s="5"/>
      <c r="F273" s="12">
        <v>35642</v>
      </c>
      <c r="G273" s="11">
        <f t="shared" si="16"/>
        <v>0.53215586753982014</v>
      </c>
      <c r="L273" s="6"/>
      <c r="R273" s="6"/>
    </row>
    <row r="274" spans="1:18" x14ac:dyDescent="0.3">
      <c r="A274" s="5"/>
      <c r="F274" s="12">
        <v>35673</v>
      </c>
      <c r="G274" s="11">
        <f t="shared" si="16"/>
        <v>0.26790763278024277</v>
      </c>
      <c r="L274" s="6"/>
      <c r="R274" s="6"/>
    </row>
    <row r="275" spans="1:18" x14ac:dyDescent="0.3">
      <c r="A275" s="5"/>
      <c r="F275" s="12">
        <v>35703</v>
      </c>
      <c r="G275" s="11">
        <f t="shared" si="16"/>
        <v>-0.28477852833325989</v>
      </c>
      <c r="L275" s="6"/>
      <c r="R275" s="6"/>
    </row>
    <row r="276" spans="1:18" x14ac:dyDescent="0.3">
      <c r="A276" s="5"/>
      <c r="F276" s="12">
        <v>35734</v>
      </c>
      <c r="G276" s="11">
        <f t="shared" si="16"/>
        <v>-7.3918910771759189E-2</v>
      </c>
      <c r="L276" s="6"/>
      <c r="R276" s="6"/>
    </row>
    <row r="277" spans="1:18" x14ac:dyDescent="0.3">
      <c r="A277" s="5"/>
      <c r="F277" s="12">
        <v>35764</v>
      </c>
      <c r="G277" s="11">
        <f t="shared" si="16"/>
        <v>-0.2634673672742458</v>
      </c>
      <c r="L277" s="6"/>
      <c r="R277" s="6"/>
    </row>
    <row r="278" spans="1:18" x14ac:dyDescent="0.3">
      <c r="A278" s="5"/>
      <c r="F278" s="12">
        <v>35795</v>
      </c>
      <c r="G278" s="11">
        <f t="shared" si="16"/>
        <v>-0.5181008346448347</v>
      </c>
      <c r="L278" s="6"/>
      <c r="R278" s="6"/>
    </row>
    <row r="279" spans="1:18" x14ac:dyDescent="0.3">
      <c r="A279" s="3"/>
      <c r="F279" s="12">
        <v>35826</v>
      </c>
      <c r="G279" s="11">
        <f t="shared" si="16"/>
        <v>-9.5195499822699842E-2</v>
      </c>
      <c r="L279" s="6"/>
      <c r="R279" s="6"/>
    </row>
    <row r="280" spans="1:18" x14ac:dyDescent="0.3">
      <c r="A280" s="3"/>
      <c r="F280" s="12">
        <v>35854</v>
      </c>
      <c r="G280" s="11">
        <f t="shared" si="16"/>
        <v>8.5685213054761511E-2</v>
      </c>
      <c r="L280" s="6"/>
      <c r="R280" s="6"/>
    </row>
    <row r="281" spans="1:18" x14ac:dyDescent="0.3">
      <c r="A281" s="3"/>
      <c r="F281" s="12">
        <v>35885</v>
      </c>
      <c r="G281" s="11">
        <f t="shared" si="16"/>
        <v>0.15156058535085173</v>
      </c>
      <c r="L281" s="6"/>
      <c r="R281" s="6"/>
    </row>
    <row r="282" spans="1:18" x14ac:dyDescent="0.3">
      <c r="A282" s="3"/>
      <c r="F282" s="12">
        <v>35915</v>
      </c>
      <c r="G282" s="11">
        <f t="shared" si="16"/>
        <v>9.5635163477219481E-2</v>
      </c>
      <c r="L282" s="6"/>
      <c r="R282" s="6"/>
    </row>
    <row r="283" spans="1:18" x14ac:dyDescent="0.3">
      <c r="A283" s="3"/>
      <c r="F283" s="12">
        <v>35946</v>
      </c>
      <c r="G283" s="11">
        <f t="shared" si="16"/>
        <v>0.14091571006352724</v>
      </c>
      <c r="L283" s="6"/>
      <c r="R283" s="6"/>
    </row>
    <row r="284" spans="1:18" x14ac:dyDescent="0.3">
      <c r="A284" s="3"/>
      <c r="F284" s="12">
        <v>35976</v>
      </c>
      <c r="G284" s="11">
        <f t="shared" si="16"/>
        <v>0.45679108235961807</v>
      </c>
      <c r="L284" s="6"/>
      <c r="R284" s="6"/>
    </row>
    <row r="285" spans="1:18" x14ac:dyDescent="0.3">
      <c r="A285" s="3"/>
      <c r="F285" s="12">
        <v>36007</v>
      </c>
      <c r="G285" s="11">
        <f t="shared" si="16"/>
        <v>0.14590278511546048</v>
      </c>
      <c r="L285" s="6"/>
      <c r="R285" s="6"/>
    </row>
    <row r="286" spans="1:18" x14ac:dyDescent="0.3">
      <c r="A286" s="3"/>
      <c r="F286" s="12">
        <v>36038</v>
      </c>
      <c r="G286" s="11">
        <f t="shared" si="16"/>
        <v>0.29884692092603904</v>
      </c>
      <c r="L286" s="6"/>
      <c r="R286" s="6"/>
    </row>
    <row r="287" spans="1:18" x14ac:dyDescent="0.3">
      <c r="A287" s="3"/>
      <c r="F287" s="12">
        <v>36068</v>
      </c>
      <c r="G287" s="11">
        <f t="shared" si="16"/>
        <v>0.20358186582746671</v>
      </c>
      <c r="L287" s="6"/>
      <c r="R287" s="6"/>
    </row>
    <row r="288" spans="1:18" x14ac:dyDescent="0.3">
      <c r="A288" s="3"/>
      <c r="F288" s="12">
        <v>36099</v>
      </c>
      <c r="G288" s="11">
        <f t="shared" si="16"/>
        <v>-5.8310173282757255E-2</v>
      </c>
      <c r="L288" s="6"/>
      <c r="R288" s="6"/>
    </row>
    <row r="289" spans="1:18" x14ac:dyDescent="0.3">
      <c r="A289" s="2"/>
      <c r="F289" s="12">
        <v>36129</v>
      </c>
      <c r="G289" s="11">
        <f t="shared" si="16"/>
        <v>-0.2166080854729997</v>
      </c>
      <c r="L289" s="6"/>
      <c r="R289" s="6"/>
    </row>
    <row r="290" spans="1:18" x14ac:dyDescent="0.3">
      <c r="A290" s="2"/>
      <c r="F290" s="12">
        <v>36160</v>
      </c>
      <c r="G290" s="11">
        <f t="shared" si="16"/>
        <v>-0.31292924934253419</v>
      </c>
      <c r="L290" s="6"/>
      <c r="R290" s="6"/>
    </row>
    <row r="291" spans="1:18" x14ac:dyDescent="0.3">
      <c r="A291" s="2"/>
      <c r="F291" s="12">
        <v>36191</v>
      </c>
      <c r="G291" s="11">
        <f t="shared" si="16"/>
        <v>0.18451244432719482</v>
      </c>
      <c r="L291" s="6"/>
      <c r="R291" s="6"/>
    </row>
    <row r="292" spans="1:18" x14ac:dyDescent="0.3">
      <c r="A292" s="2"/>
      <c r="F292" s="12">
        <v>36219</v>
      </c>
      <c r="G292" s="11">
        <f t="shared" si="16"/>
        <v>-3.6846888573743797E-2</v>
      </c>
      <c r="L292" s="6"/>
      <c r="R292" s="6"/>
    </row>
    <row r="293" spans="1:18" x14ac:dyDescent="0.3">
      <c r="A293" s="2"/>
      <c r="F293" s="12">
        <v>36250</v>
      </c>
      <c r="G293" s="11">
        <f t="shared" si="16"/>
        <v>0.3962216303592041</v>
      </c>
      <c r="L293" s="6"/>
      <c r="R293" s="6"/>
    </row>
    <row r="294" spans="1:18" x14ac:dyDescent="0.3">
      <c r="A294" s="2"/>
      <c r="F294" s="12">
        <v>36280</v>
      </c>
      <c r="G294" s="11">
        <f t="shared" si="16"/>
        <v>0.14591142358856457</v>
      </c>
      <c r="L294" s="6"/>
      <c r="R294" s="6"/>
    </row>
    <row r="295" spans="1:18" x14ac:dyDescent="0.3">
      <c r="F295" s="12">
        <v>36311</v>
      </c>
      <c r="G295" s="11">
        <f t="shared" si="16"/>
        <v>0.20939040050746496</v>
      </c>
      <c r="L295" s="6"/>
      <c r="R295" s="6"/>
    </row>
    <row r="296" spans="1:18" x14ac:dyDescent="0.3">
      <c r="F296" s="12">
        <v>36341</v>
      </c>
      <c r="G296" s="11">
        <f t="shared" si="16"/>
        <v>-0.11164649354469477</v>
      </c>
      <c r="L296" s="6"/>
      <c r="R296" s="6"/>
    </row>
    <row r="297" spans="1:18" x14ac:dyDescent="0.3">
      <c r="F297" s="12">
        <v>36372</v>
      </c>
      <c r="G297" s="11">
        <f t="shared" si="16"/>
        <v>0.30204894204288407</v>
      </c>
      <c r="L297" s="6"/>
      <c r="R297" s="6"/>
    </row>
    <row r="298" spans="1:18" x14ac:dyDescent="0.3">
      <c r="F298" s="12">
        <v>36403</v>
      </c>
      <c r="G298" s="11">
        <f t="shared" si="16"/>
        <v>-0.29994929827459238</v>
      </c>
      <c r="L298" s="6"/>
      <c r="R298" s="6"/>
    </row>
    <row r="299" spans="1:18" x14ac:dyDescent="0.3">
      <c r="F299" s="12">
        <v>36433</v>
      </c>
      <c r="G299" s="11">
        <f t="shared" si="16"/>
        <v>-2.5721137228180702E-2</v>
      </c>
      <c r="L299" s="6"/>
      <c r="R299" s="6"/>
    </row>
    <row r="300" spans="1:18" x14ac:dyDescent="0.3">
      <c r="F300" s="12">
        <v>36464</v>
      </c>
      <c r="G300" s="11">
        <f t="shared" si="16"/>
        <v>-0.17307707715314344</v>
      </c>
      <c r="L300" s="6"/>
      <c r="R300" s="6"/>
    </row>
    <row r="301" spans="1:18" x14ac:dyDescent="0.3">
      <c r="F301" s="12">
        <v>36494</v>
      </c>
      <c r="G301" s="11">
        <f t="shared" si="16"/>
        <v>0.18393465863984262</v>
      </c>
      <c r="L301" s="6"/>
      <c r="R301" s="6"/>
    </row>
    <row r="302" spans="1:18" x14ac:dyDescent="0.3">
      <c r="F302" s="12">
        <v>36525</v>
      </c>
      <c r="G302" s="11">
        <f t="shared" si="16"/>
        <v>3.380853214145334E-4</v>
      </c>
      <c r="L302" s="6"/>
      <c r="R302" s="6"/>
    </row>
    <row r="303" spans="1:18" x14ac:dyDescent="0.3">
      <c r="F303" s="12">
        <v>36556</v>
      </c>
      <c r="G303" s="11">
        <f t="shared" si="16"/>
        <v>0.45187648342481568</v>
      </c>
      <c r="L303" s="6"/>
      <c r="R303" s="6"/>
    </row>
    <row r="304" spans="1:18" x14ac:dyDescent="0.3">
      <c r="F304" s="12">
        <v>36585</v>
      </c>
      <c r="G304" s="11">
        <f t="shared" si="16"/>
        <v>0.34623280149337443</v>
      </c>
      <c r="L304" s="6"/>
      <c r="R304" s="6"/>
    </row>
    <row r="305" spans="6:18" x14ac:dyDescent="0.3">
      <c r="F305" s="12">
        <v>36616</v>
      </c>
      <c r="G305" s="11">
        <f t="shared" si="16"/>
        <v>5.5113644629176818E-2</v>
      </c>
      <c r="L305" s="6"/>
      <c r="R305" s="6"/>
    </row>
    <row r="306" spans="6:18" x14ac:dyDescent="0.3">
      <c r="F306" s="12">
        <v>36646</v>
      </c>
      <c r="G306" s="11">
        <f t="shared" si="16"/>
        <v>5.8379181219993623E-2</v>
      </c>
      <c r="L306" s="6"/>
      <c r="R306" s="6"/>
    </row>
    <row r="307" spans="6:18" x14ac:dyDescent="0.3">
      <c r="F307" s="12">
        <v>36677</v>
      </c>
      <c r="G307" s="11">
        <f t="shared" si="16"/>
        <v>-0.19606865800192533</v>
      </c>
      <c r="L307" s="6"/>
      <c r="R307" s="6"/>
    </row>
    <row r="308" spans="6:18" x14ac:dyDescent="0.3">
      <c r="F308" s="12">
        <v>36707</v>
      </c>
      <c r="G308" s="11">
        <f t="shared" si="16"/>
        <v>-0.20123017975799526</v>
      </c>
      <c r="L308" s="6"/>
      <c r="R308" s="6"/>
    </row>
    <row r="309" spans="6:18" x14ac:dyDescent="0.3">
      <c r="F309" s="12">
        <v>36738</v>
      </c>
      <c r="G309" s="11">
        <f t="shared" si="16"/>
        <v>-0.29492212987835092</v>
      </c>
      <c r="L309" s="6"/>
      <c r="R309" s="6"/>
    </row>
    <row r="310" spans="6:18" x14ac:dyDescent="0.3">
      <c r="F310" s="12">
        <v>36769</v>
      </c>
      <c r="G310" s="11">
        <f t="shared" si="16"/>
        <v>-0.17153571784230814</v>
      </c>
      <c r="L310" s="6"/>
      <c r="R310" s="6"/>
    </row>
    <row r="311" spans="6:18" x14ac:dyDescent="0.3">
      <c r="F311" s="12">
        <v>36799</v>
      </c>
      <c r="G311" s="11">
        <f t="shared" si="16"/>
        <v>-3.9784973250127101E-2</v>
      </c>
      <c r="L311" s="6"/>
      <c r="R311" s="6"/>
    </row>
    <row r="312" spans="6:18" x14ac:dyDescent="0.3">
      <c r="F312" s="12">
        <v>36830</v>
      </c>
      <c r="G312" s="11">
        <f t="shared" si="16"/>
        <v>3.4502820620123317E-2</v>
      </c>
      <c r="L312" s="6"/>
      <c r="R312" s="6"/>
    </row>
    <row r="313" spans="6:18" x14ac:dyDescent="0.3">
      <c r="F313" s="12">
        <v>36860</v>
      </c>
      <c r="G313" s="11">
        <f t="shared" si="16"/>
        <v>0.10861378001502696</v>
      </c>
      <c r="L313" s="6"/>
      <c r="R313" s="6"/>
    </row>
    <row r="314" spans="6:18" x14ac:dyDescent="0.3">
      <c r="F314" s="12">
        <v>36891</v>
      </c>
      <c r="G314" s="11">
        <f t="shared" si="16"/>
        <v>-2.8298486333223152E-2</v>
      </c>
      <c r="L314" s="6"/>
      <c r="R314" s="6"/>
    </row>
    <row r="315" spans="6:18" x14ac:dyDescent="0.3">
      <c r="F315" s="12">
        <v>36922</v>
      </c>
      <c r="G315" s="11">
        <f t="shared" si="16"/>
        <v>-4.4437885463495599E-2</v>
      </c>
      <c r="L315" s="6"/>
      <c r="R315" s="6"/>
    </row>
    <row r="316" spans="6:18" x14ac:dyDescent="0.3">
      <c r="F316" s="12">
        <v>36950</v>
      </c>
      <c r="G316" s="11">
        <f t="shared" si="16"/>
        <v>-7.3742224236899218E-2</v>
      </c>
      <c r="L316" s="6"/>
      <c r="R316" s="6"/>
    </row>
    <row r="317" spans="6:18" x14ac:dyDescent="0.3">
      <c r="F317" s="12">
        <v>36981</v>
      </c>
      <c r="G317" s="11">
        <f t="shared" si="16"/>
        <v>8.0464666279046484E-2</v>
      </c>
      <c r="L317" s="6"/>
      <c r="R317" s="6"/>
    </row>
    <row r="318" spans="6:18" x14ac:dyDescent="0.3">
      <c r="F318" s="12">
        <v>37011</v>
      </c>
      <c r="G318" s="11">
        <f t="shared" si="16"/>
        <v>-0.23418707137952863</v>
      </c>
      <c r="L318" s="6"/>
      <c r="R318" s="6"/>
    </row>
    <row r="319" spans="6:18" x14ac:dyDescent="0.3">
      <c r="F319" s="12">
        <v>37042</v>
      </c>
      <c r="G319" s="11">
        <f t="shared" si="16"/>
        <v>-0.42640066965838697</v>
      </c>
      <c r="L319" s="6"/>
      <c r="R319" s="6"/>
    </row>
    <row r="320" spans="6:18" x14ac:dyDescent="0.3">
      <c r="F320" s="12">
        <v>37072</v>
      </c>
      <c r="G320" s="11">
        <f t="shared" si="16"/>
        <v>8.4398643972065646E-3</v>
      </c>
      <c r="L320" s="6"/>
      <c r="R320" s="6"/>
    </row>
    <row r="321" spans="6:18" x14ac:dyDescent="0.3">
      <c r="F321" s="12">
        <v>37103</v>
      </c>
      <c r="G321" s="11">
        <f t="shared" si="16"/>
        <v>-4.6168070270301419E-2</v>
      </c>
      <c r="L321" s="6"/>
      <c r="R321" s="6"/>
    </row>
    <row r="322" spans="6:18" x14ac:dyDescent="0.3">
      <c r="F322" s="12">
        <v>37134</v>
      </c>
      <c r="G322" s="11">
        <f t="shared" si="16"/>
        <v>-2.3078744824973407E-2</v>
      </c>
      <c r="L322" s="6"/>
      <c r="R322" s="6"/>
    </row>
    <row r="323" spans="6:18" x14ac:dyDescent="0.3">
      <c r="F323" s="12">
        <v>37164</v>
      </c>
      <c r="G323" s="11">
        <f t="shared" ref="G323:G386" si="17">SUMIFS($E$3:$E$279,$B$3:$B$279,YEAR(F323),$C$3:$C$279,MONTH(F323))</f>
        <v>-4.7834960256866177E-2</v>
      </c>
      <c r="L323" s="6"/>
      <c r="R323" s="6"/>
    </row>
    <row r="324" spans="6:18" x14ac:dyDescent="0.3">
      <c r="F324" s="12">
        <v>37195</v>
      </c>
      <c r="G324" s="11">
        <f t="shared" si="17"/>
        <v>-0.11996846493477023</v>
      </c>
      <c r="L324" s="6"/>
      <c r="R324" s="6"/>
    </row>
    <row r="325" spans="6:18" x14ac:dyDescent="0.3">
      <c r="F325" s="12">
        <v>37225</v>
      </c>
      <c r="G325" s="11">
        <f t="shared" si="17"/>
        <v>-0.36006411509089931</v>
      </c>
      <c r="L325" s="6"/>
      <c r="R325" s="6"/>
    </row>
    <row r="326" spans="6:18" x14ac:dyDescent="0.3">
      <c r="F326" s="12">
        <v>37256</v>
      </c>
      <c r="G326" s="11">
        <f t="shared" si="17"/>
        <v>0.23414483123671256</v>
      </c>
      <c r="L326" s="6"/>
      <c r="R326" s="6"/>
    </row>
    <row r="327" spans="6:18" x14ac:dyDescent="0.3">
      <c r="F327" s="12">
        <v>37287</v>
      </c>
      <c r="G327" s="11">
        <f t="shared" si="17"/>
        <v>0.24613514589695837</v>
      </c>
      <c r="L327" s="6"/>
      <c r="R327" s="6"/>
    </row>
    <row r="328" spans="6:18" x14ac:dyDescent="0.3">
      <c r="F328" s="12">
        <v>37315</v>
      </c>
      <c r="G328" s="11">
        <f t="shared" si="17"/>
        <v>0.10846036397402183</v>
      </c>
      <c r="L328" s="6"/>
      <c r="R328" s="6"/>
    </row>
    <row r="329" spans="6:18" x14ac:dyDescent="0.3">
      <c r="F329" s="12">
        <v>37346</v>
      </c>
      <c r="G329" s="11">
        <f t="shared" si="17"/>
        <v>0.22795358011900715</v>
      </c>
      <c r="L329" s="6"/>
      <c r="R329" s="6"/>
    </row>
    <row r="330" spans="6:18" x14ac:dyDescent="0.3">
      <c r="F330" s="12">
        <v>37376</v>
      </c>
      <c r="G330" s="11">
        <f t="shared" si="17"/>
        <v>-3.711385414260341E-2</v>
      </c>
      <c r="L330" s="6"/>
      <c r="R330" s="6"/>
    </row>
    <row r="331" spans="6:18" x14ac:dyDescent="0.3">
      <c r="F331" s="12">
        <v>37407</v>
      </c>
      <c r="G331" s="11">
        <f t="shared" si="17"/>
        <v>-0.12316448920632948</v>
      </c>
      <c r="L331" s="6"/>
      <c r="R331" s="6"/>
    </row>
    <row r="332" spans="6:18" x14ac:dyDescent="0.3">
      <c r="F332" s="12">
        <v>37437</v>
      </c>
      <c r="G332" s="11">
        <f t="shared" si="17"/>
        <v>-0.12316448920632948</v>
      </c>
      <c r="L332" s="6"/>
      <c r="R332" s="6"/>
    </row>
    <row r="333" spans="6:18" x14ac:dyDescent="0.3">
      <c r="F333" s="12">
        <v>37468</v>
      </c>
      <c r="G333" s="11">
        <f t="shared" si="17"/>
        <v>-0.11273552956746412</v>
      </c>
      <c r="L333" s="6"/>
      <c r="R333" s="6"/>
    </row>
    <row r="334" spans="6:18" x14ac:dyDescent="0.3">
      <c r="F334" s="12">
        <v>37499</v>
      </c>
      <c r="G334" s="11">
        <f t="shared" si="17"/>
        <v>3.0576349110435847E-2</v>
      </c>
      <c r="L334" s="6"/>
      <c r="R334" s="6"/>
    </row>
    <row r="335" spans="6:18" x14ac:dyDescent="0.3">
      <c r="F335" s="12">
        <v>37529</v>
      </c>
      <c r="G335" s="11">
        <f t="shared" si="17"/>
        <v>0.12584140420900816</v>
      </c>
      <c r="L335" s="6"/>
      <c r="R335" s="6"/>
    </row>
    <row r="336" spans="6:18" x14ac:dyDescent="0.3">
      <c r="F336" s="12">
        <v>37560</v>
      </c>
      <c r="G336" s="11">
        <f t="shared" si="17"/>
        <v>-3.3160001244418708E-3</v>
      </c>
      <c r="L336" s="6"/>
      <c r="R336" s="6"/>
    </row>
    <row r="337" spans="6:18" x14ac:dyDescent="0.3">
      <c r="F337" s="12">
        <v>37590</v>
      </c>
      <c r="G337" s="11">
        <f t="shared" si="17"/>
        <v>-0.31112700015589378</v>
      </c>
      <c r="L337" s="6"/>
      <c r="R337" s="6"/>
    </row>
    <row r="338" spans="6:18" x14ac:dyDescent="0.3">
      <c r="F338" s="12">
        <v>37621</v>
      </c>
      <c r="G338" s="11">
        <f t="shared" si="17"/>
        <v>-0.34051668295837678</v>
      </c>
      <c r="L338" s="6"/>
      <c r="R338" s="6"/>
    </row>
    <row r="339" spans="6:18" x14ac:dyDescent="0.3">
      <c r="F339" s="12">
        <v>37652</v>
      </c>
      <c r="G339" s="11">
        <f t="shared" si="17"/>
        <v>-0.50561385999419461</v>
      </c>
      <c r="L339" s="6"/>
      <c r="R339" s="6"/>
    </row>
    <row r="340" spans="6:18" x14ac:dyDescent="0.3">
      <c r="F340" s="12">
        <v>37680</v>
      </c>
      <c r="G340" s="11">
        <f t="shared" si="17"/>
        <v>-1.2775183359105574E-2</v>
      </c>
      <c r="L340" s="6"/>
      <c r="R340" s="6"/>
    </row>
    <row r="341" spans="6:18" x14ac:dyDescent="0.3">
      <c r="F341" s="12">
        <v>37711</v>
      </c>
      <c r="G341" s="11">
        <f t="shared" si="17"/>
        <v>0.37360902860366507</v>
      </c>
      <c r="L341" s="6"/>
      <c r="R341" s="6"/>
    </row>
    <row r="342" spans="6:18" x14ac:dyDescent="0.3">
      <c r="F342" s="12">
        <v>37741</v>
      </c>
      <c r="G342" s="11">
        <f t="shared" si="17"/>
        <v>1.7260455830779699E-2</v>
      </c>
      <c r="L342" s="6"/>
      <c r="R342" s="6"/>
    </row>
    <row r="343" spans="6:18" x14ac:dyDescent="0.3">
      <c r="F343" s="12">
        <v>37772</v>
      </c>
      <c r="G343" s="11">
        <f t="shared" si="17"/>
        <v>-0.22544942038515911</v>
      </c>
      <c r="L343" s="6"/>
      <c r="R343" s="6"/>
    </row>
    <row r="344" spans="6:18" x14ac:dyDescent="0.3">
      <c r="F344" s="12">
        <v>37802</v>
      </c>
      <c r="G344" s="11">
        <f t="shared" si="17"/>
        <v>-0.23061094214122893</v>
      </c>
      <c r="L344" s="6"/>
      <c r="R344" s="6"/>
    </row>
    <row r="345" spans="6:18" x14ac:dyDescent="0.3">
      <c r="F345" s="12">
        <v>37833</v>
      </c>
      <c r="G345" s="11">
        <f t="shared" si="17"/>
        <v>-0.27511640213340338</v>
      </c>
      <c r="L345" s="6"/>
      <c r="R345" s="6"/>
    </row>
    <row r="346" spans="6:18" x14ac:dyDescent="0.3">
      <c r="F346" s="12">
        <v>37864</v>
      </c>
      <c r="G346" s="11">
        <f t="shared" si="17"/>
        <v>0.28801560065884585</v>
      </c>
      <c r="L346" s="6"/>
      <c r="R346" s="6"/>
    </row>
    <row r="347" spans="6:18" x14ac:dyDescent="0.3">
      <c r="F347" s="12">
        <v>37894</v>
      </c>
      <c r="G347" s="11">
        <f t="shared" si="17"/>
        <v>0.15626485606666538</v>
      </c>
      <c r="L347" s="6"/>
      <c r="R347" s="6"/>
    </row>
    <row r="348" spans="6:18" x14ac:dyDescent="0.3">
      <c r="F348" s="12">
        <v>37925</v>
      </c>
      <c r="G348" s="11">
        <f t="shared" si="17"/>
        <v>-0.12660052365107735</v>
      </c>
      <c r="L348" s="6"/>
      <c r="R348" s="6"/>
    </row>
    <row r="349" spans="6:18" x14ac:dyDescent="0.3">
      <c r="F349" s="12">
        <v>37955</v>
      </c>
      <c r="G349" s="11">
        <f t="shared" si="17"/>
        <v>0.19482216107176917</v>
      </c>
      <c r="L349" s="6"/>
      <c r="R349" s="6"/>
    </row>
    <row r="350" spans="6:18" x14ac:dyDescent="0.3">
      <c r="F350" s="12">
        <v>37986</v>
      </c>
      <c r="G350" s="11">
        <f t="shared" si="17"/>
        <v>3.5453748799752605E-2</v>
      </c>
      <c r="L350" s="6"/>
      <c r="R350" s="6"/>
    </row>
    <row r="351" spans="6:18" x14ac:dyDescent="0.3">
      <c r="F351" s="12">
        <v>38017</v>
      </c>
      <c r="G351" s="11">
        <f t="shared" si="17"/>
        <v>-1.8915825654227083E-2</v>
      </c>
      <c r="L351" s="6"/>
      <c r="R351" s="6"/>
    </row>
    <row r="352" spans="6:18" x14ac:dyDescent="0.3">
      <c r="F352" s="12">
        <v>38046</v>
      </c>
      <c r="G352" s="11">
        <f t="shared" si="17"/>
        <v>-0.11301193456884923</v>
      </c>
      <c r="L352" s="6"/>
      <c r="R352" s="6"/>
    </row>
    <row r="353" spans="6:18" x14ac:dyDescent="0.3">
      <c r="F353" s="12">
        <v>38077</v>
      </c>
      <c r="G353" s="11">
        <f t="shared" si="17"/>
        <v>-0.29660850788727822</v>
      </c>
      <c r="L353" s="6"/>
      <c r="R353" s="6"/>
    </row>
    <row r="354" spans="6:18" x14ac:dyDescent="0.3">
      <c r="F354" s="12">
        <v>38107</v>
      </c>
      <c r="G354" s="11">
        <f t="shared" si="17"/>
        <v>-0.22342606892469544</v>
      </c>
      <c r="L354" s="6"/>
      <c r="R354" s="6"/>
    </row>
    <row r="355" spans="6:18" x14ac:dyDescent="0.3">
      <c r="F355" s="12">
        <v>38138</v>
      </c>
      <c r="G355" s="11">
        <f t="shared" si="17"/>
        <v>2.4179349949387613E-2</v>
      </c>
      <c r="L355" s="6"/>
      <c r="R355" s="6"/>
    </row>
    <row r="356" spans="6:18" x14ac:dyDescent="0.3">
      <c r="F356" s="12">
        <v>38168</v>
      </c>
      <c r="G356" s="11">
        <f t="shared" si="17"/>
        <v>2.4707404334867816E-2</v>
      </c>
      <c r="L356" s="6"/>
      <c r="R356" s="6"/>
    </row>
    <row r="357" spans="6:18" x14ac:dyDescent="0.3">
      <c r="F357" s="12">
        <v>38199</v>
      </c>
      <c r="G357" s="11">
        <f t="shared" si="17"/>
        <v>-0.31069659923443305</v>
      </c>
      <c r="L357" s="6"/>
      <c r="R357" s="6"/>
    </row>
    <row r="358" spans="6:18" x14ac:dyDescent="0.3">
      <c r="F358" s="12">
        <v>38230</v>
      </c>
      <c r="G358" s="11">
        <f t="shared" si="17"/>
        <v>-7.5208663706585188E-3</v>
      </c>
      <c r="L358" s="6"/>
      <c r="R358" s="6"/>
    </row>
    <row r="359" spans="6:18" x14ac:dyDescent="0.3">
      <c r="F359" s="12">
        <v>38260</v>
      </c>
      <c r="G359" s="11">
        <f t="shared" si="17"/>
        <v>-0.23276465093876667</v>
      </c>
      <c r="L359" s="6"/>
      <c r="R359" s="6"/>
    </row>
    <row r="360" spans="6:18" x14ac:dyDescent="0.3">
      <c r="F360" s="12">
        <v>38291</v>
      </c>
      <c r="G360" s="11">
        <f t="shared" si="17"/>
        <v>-0.1467680329620463</v>
      </c>
      <c r="L360" s="6"/>
      <c r="R360" s="6"/>
    </row>
    <row r="361" spans="6:18" x14ac:dyDescent="0.3">
      <c r="F361" s="12">
        <v>38321</v>
      </c>
      <c r="G361" s="11">
        <f t="shared" si="17"/>
        <v>0.29096556907602433</v>
      </c>
      <c r="L361" s="6"/>
      <c r="R361" s="6"/>
    </row>
    <row r="362" spans="6:18" x14ac:dyDescent="0.3">
      <c r="F362" s="12">
        <v>38352</v>
      </c>
      <c r="G362" s="11">
        <f t="shared" si="17"/>
        <v>0.29096556907602433</v>
      </c>
      <c r="L362" s="6"/>
      <c r="R362" s="6"/>
    </row>
    <row r="363" spans="6:18" x14ac:dyDescent="0.3">
      <c r="F363" s="12">
        <v>38383</v>
      </c>
      <c r="G363" s="11">
        <f t="shared" si="17"/>
        <v>0.23977562189871363</v>
      </c>
      <c r="L363" s="6"/>
      <c r="R363" s="6"/>
    </row>
    <row r="364" spans="6:18" x14ac:dyDescent="0.3">
      <c r="F364" s="12">
        <v>38411</v>
      </c>
      <c r="G364" s="11">
        <f t="shared" si="17"/>
        <v>-0.10992878240355718</v>
      </c>
      <c r="L364" s="6"/>
      <c r="R364" s="6"/>
    </row>
    <row r="365" spans="6:18" x14ac:dyDescent="0.3">
      <c r="F365" s="12">
        <v>38442</v>
      </c>
      <c r="G365" s="11">
        <f t="shared" si="17"/>
        <v>-0.22942199854854115</v>
      </c>
      <c r="L365" s="6"/>
      <c r="R365" s="6"/>
    </row>
    <row r="366" spans="6:18" x14ac:dyDescent="0.3">
      <c r="F366" s="12">
        <v>38472</v>
      </c>
      <c r="G366" s="11">
        <f t="shared" si="17"/>
        <v>-0.26541490042350557</v>
      </c>
      <c r="L366" s="6"/>
      <c r="R366" s="6"/>
    </row>
    <row r="367" spans="6:18" x14ac:dyDescent="0.3">
      <c r="F367" s="12">
        <v>38503</v>
      </c>
      <c r="G367" s="11">
        <f t="shared" si="17"/>
        <v>4.0179340801094102E-2</v>
      </c>
      <c r="L367" s="6"/>
      <c r="R367" s="6"/>
    </row>
    <row r="368" spans="6:18" x14ac:dyDescent="0.3">
      <c r="F368" s="12">
        <v>38533</v>
      </c>
      <c r="G368" s="11">
        <f t="shared" si="17"/>
        <v>1.5951179754682427E-2</v>
      </c>
      <c r="L368" s="6"/>
      <c r="R368" s="6"/>
    </row>
    <row r="369" spans="6:18" x14ac:dyDescent="0.3">
      <c r="F369" s="12">
        <v>38564</v>
      </c>
      <c r="G369" s="11">
        <f t="shared" si="17"/>
        <v>-0.19702236904577244</v>
      </c>
      <c r="L369" s="6"/>
      <c r="R369" s="6"/>
    </row>
    <row r="370" spans="6:18" x14ac:dyDescent="0.3">
      <c r="F370" s="12">
        <v>38595</v>
      </c>
      <c r="G370" s="11">
        <f t="shared" si="17"/>
        <v>-0.27229643137831272</v>
      </c>
      <c r="L370" s="6"/>
      <c r="R370" s="6"/>
    </row>
    <row r="371" spans="6:18" x14ac:dyDescent="0.3">
      <c r="F371" s="12">
        <v>38625</v>
      </c>
      <c r="G371" s="11">
        <f t="shared" si="17"/>
        <v>0.13831594163086872</v>
      </c>
      <c r="L371" s="6"/>
      <c r="R371" s="6"/>
    </row>
    <row r="372" spans="6:18" x14ac:dyDescent="0.3">
      <c r="F372" s="12">
        <v>38656</v>
      </c>
      <c r="G372" s="11">
        <f t="shared" si="17"/>
        <v>0.20250494222229234</v>
      </c>
      <c r="L372" s="6"/>
      <c r="R372" s="6"/>
    </row>
    <row r="373" spans="6:18" x14ac:dyDescent="0.3">
      <c r="F373" s="12">
        <v>38686</v>
      </c>
      <c r="G373" s="11">
        <f t="shared" si="17"/>
        <v>0.29776174327371296</v>
      </c>
      <c r="L373" s="6"/>
      <c r="R373" s="6"/>
    </row>
    <row r="374" spans="6:18" x14ac:dyDescent="0.3">
      <c r="F374" s="12">
        <v>38717</v>
      </c>
      <c r="G374" s="11">
        <f t="shared" si="17"/>
        <v>0.23704789273369253</v>
      </c>
      <c r="L374" s="6"/>
      <c r="R374" s="6"/>
    </row>
    <row r="375" spans="6:18" x14ac:dyDescent="0.3">
      <c r="F375" s="12">
        <v>38748</v>
      </c>
      <c r="G375" s="11">
        <f t="shared" si="17"/>
        <v>5.7152683157808935E-2</v>
      </c>
      <c r="L375" s="6"/>
      <c r="R375" s="6"/>
    </row>
    <row r="376" spans="6:18" x14ac:dyDescent="0.3">
      <c r="F376" s="12">
        <v>38776</v>
      </c>
      <c r="G376" s="11">
        <f t="shared" si="17"/>
        <v>-4.9373116564412664E-2</v>
      </c>
      <c r="L376" s="6"/>
      <c r="R376" s="6"/>
    </row>
    <row r="377" spans="6:18" x14ac:dyDescent="0.3">
      <c r="F377" s="12">
        <v>38807</v>
      </c>
      <c r="G377" s="11">
        <f t="shared" si="17"/>
        <v>8.7539149783838338E-2</v>
      </c>
      <c r="L377" s="6"/>
      <c r="R377" s="6"/>
    </row>
    <row r="378" spans="6:18" x14ac:dyDescent="0.3">
      <c r="F378" s="12">
        <v>38837</v>
      </c>
      <c r="G378" s="11">
        <f t="shared" si="17"/>
        <v>-2.2401185312972621E-2</v>
      </c>
      <c r="L378" s="6"/>
      <c r="R378" s="6"/>
    </row>
    <row r="379" spans="6:18" x14ac:dyDescent="0.3">
      <c r="F379" s="12">
        <v>38868</v>
      </c>
      <c r="G379" s="11">
        <f t="shared" si="17"/>
        <v>-4.7738244609003458E-2</v>
      </c>
      <c r="L379" s="6"/>
      <c r="R379" s="6"/>
    </row>
    <row r="380" spans="6:18" x14ac:dyDescent="0.3">
      <c r="F380" s="12">
        <v>38898</v>
      </c>
      <c r="G380" s="11">
        <f t="shared" si="17"/>
        <v>2.3298649443156721E-2</v>
      </c>
      <c r="L380" s="6"/>
      <c r="R380" s="6"/>
    </row>
    <row r="381" spans="6:18" x14ac:dyDescent="0.3">
      <c r="F381" s="12">
        <v>38929</v>
      </c>
      <c r="G381" s="11">
        <f t="shared" si="17"/>
        <v>-5.1358359423167431E-2</v>
      </c>
      <c r="L381" s="6"/>
      <c r="R381" s="6"/>
    </row>
    <row r="382" spans="6:18" x14ac:dyDescent="0.3">
      <c r="F382" s="12">
        <v>38960</v>
      </c>
      <c r="G382" s="11">
        <f t="shared" si="17"/>
        <v>6.279366218734117E-2</v>
      </c>
      <c r="L382" s="6"/>
      <c r="R382" s="6"/>
    </row>
    <row r="383" spans="6:18" x14ac:dyDescent="0.3">
      <c r="F383" s="12">
        <v>38990</v>
      </c>
      <c r="G383" s="11">
        <f t="shared" si="17"/>
        <v>-0.18667828342717774</v>
      </c>
      <c r="L383" s="6"/>
      <c r="R383" s="6"/>
    </row>
    <row r="384" spans="6:18" x14ac:dyDescent="0.3">
      <c r="F384" s="12">
        <v>39021</v>
      </c>
      <c r="G384" s="11">
        <f t="shared" si="17"/>
        <v>-0.15818872957451935</v>
      </c>
      <c r="L384" s="6"/>
      <c r="R384" s="6"/>
    </row>
    <row r="385" spans="6:18" x14ac:dyDescent="0.3">
      <c r="F385" s="12">
        <v>39051</v>
      </c>
      <c r="G385" s="11">
        <f t="shared" si="17"/>
        <v>0.24451537626363218</v>
      </c>
      <c r="L385" s="6"/>
      <c r="R385" s="6"/>
    </row>
    <row r="386" spans="6:18" x14ac:dyDescent="0.3">
      <c r="F386" s="12">
        <v>39082</v>
      </c>
      <c r="G386" s="11">
        <f t="shared" si="17"/>
        <v>-4.9565693508867303E-3</v>
      </c>
      <c r="L386" s="6"/>
      <c r="R386" s="6"/>
    </row>
    <row r="387" spans="6:18" x14ac:dyDescent="0.3">
      <c r="F387" s="12">
        <v>39113</v>
      </c>
      <c r="G387" s="11">
        <f t="shared" ref="G387:G398" si="18">SUMIFS($E$3:$E$279,$B$3:$B$279,YEAR(F387),$C$3:$C$279,MONTH(F387))</f>
        <v>0.24598382562190457</v>
      </c>
      <c r="L387" s="6"/>
      <c r="R387" s="6"/>
    </row>
    <row r="388" spans="6:18" x14ac:dyDescent="0.3">
      <c r="F388" s="12">
        <v>39141</v>
      </c>
      <c r="G388" s="11">
        <f t="shared" si="18"/>
        <v>-2.3570265030878779E-2</v>
      </c>
      <c r="L388" s="6"/>
      <c r="R388" s="6"/>
    </row>
    <row r="389" spans="6:18" x14ac:dyDescent="0.3">
      <c r="F389" s="12">
        <v>39172</v>
      </c>
      <c r="G389" s="11">
        <f t="shared" si="18"/>
        <v>-0.14306348117586187</v>
      </c>
      <c r="L389" s="6"/>
      <c r="R389" s="6"/>
    </row>
    <row r="390" spans="6:18" x14ac:dyDescent="0.3">
      <c r="F390" s="12">
        <v>39202</v>
      </c>
      <c r="G390" s="11">
        <f t="shared" si="18"/>
        <v>-0.19443883234577844</v>
      </c>
      <c r="L390" s="6"/>
      <c r="R390" s="6"/>
    </row>
    <row r="391" spans="6:18" x14ac:dyDescent="0.3">
      <c r="F391" s="12">
        <v>39233</v>
      </c>
      <c r="G391" s="11">
        <f t="shared" si="18"/>
        <v>6.4700422522697587E-2</v>
      </c>
      <c r="L391" s="6"/>
      <c r="R391" s="6"/>
    </row>
    <row r="392" spans="6:18" x14ac:dyDescent="0.3">
      <c r="F392" s="12">
        <v>39263</v>
      </c>
      <c r="G392" s="11">
        <f t="shared" si="18"/>
        <v>-0.16054336204541009</v>
      </c>
      <c r="L392" s="6"/>
      <c r="R392" s="6"/>
    </row>
    <row r="393" spans="6:18" x14ac:dyDescent="0.3">
      <c r="F393" s="12">
        <v>39294</v>
      </c>
      <c r="G393" s="11">
        <f t="shared" si="18"/>
        <v>5.9102440687081065E-2</v>
      </c>
      <c r="L393" s="6"/>
      <c r="R393" s="6"/>
    </row>
    <row r="394" spans="6:18" x14ac:dyDescent="0.3">
      <c r="F394" s="12">
        <v>39325</v>
      </c>
      <c r="G394" s="11">
        <f t="shared" si="18"/>
        <v>-8.3611673709846651E-2</v>
      </c>
      <c r="L394" s="6"/>
      <c r="R394" s="6"/>
    </row>
    <row r="395" spans="6:18" x14ac:dyDescent="0.3">
      <c r="F395" s="12">
        <v>39355</v>
      </c>
      <c r="G395" s="11">
        <f t="shared" si="18"/>
        <v>-1.7736301413755835E-2</v>
      </c>
      <c r="L395" s="6"/>
      <c r="R395" s="6"/>
    </row>
    <row r="396" spans="6:18" x14ac:dyDescent="0.3">
      <c r="F396" s="12">
        <v>39386</v>
      </c>
      <c r="G396" s="11">
        <f t="shared" si="18"/>
        <v>9.0851262024799526E-2</v>
      </c>
      <c r="L396" s="6"/>
      <c r="R396" s="6"/>
    </row>
    <row r="397" spans="6:18" x14ac:dyDescent="0.3">
      <c r="F397" s="12">
        <v>39416</v>
      </c>
      <c r="G397" s="11">
        <f t="shared" si="18"/>
        <v>0.17203316569046798</v>
      </c>
      <c r="L397" s="6"/>
      <c r="R397" s="6"/>
    </row>
    <row r="398" spans="6:18" x14ac:dyDescent="0.3">
      <c r="F398" s="12">
        <v>39447</v>
      </c>
      <c r="G398" s="11">
        <f t="shared" si="18"/>
        <v>-0.1732318894081043</v>
      </c>
      <c r="L398" s="6"/>
      <c r="R398" s="6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monthlyShocks</vt:lpstr>
    </vt:vector>
  </TitlesOfParts>
  <Company>Bank of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321343</dc:creator>
  <cp:lastModifiedBy>Lluc Puig Codina</cp:lastModifiedBy>
  <cp:lastPrinted>2013-05-16T20:27:18Z</cp:lastPrinted>
  <dcterms:created xsi:type="dcterms:W3CDTF">2012-09-02T17:14:55Z</dcterms:created>
  <dcterms:modified xsi:type="dcterms:W3CDTF">2023-09-09T18:14:58Z</dcterms:modified>
</cp:coreProperties>
</file>